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52c116f1aa482c84/Desktop/"/>
    </mc:Choice>
  </mc:AlternateContent>
  <xr:revisionPtr revIDLastSave="104" documentId="8_{74CC7D36-A0EA-4B97-9A8E-4418F8FF316B}" xr6:coauthVersionLast="47" xr6:coauthVersionMax="47" xr10:uidLastSave="{DCD168A2-4D32-4AD9-8133-B849DC1ABBCD}"/>
  <bookViews>
    <workbookView xWindow="-108" yWindow="-108" windowWidth="23256" windowHeight="12456" firstSheet="1" activeTab="5" xr2:uid="{5C6B2876-6CF9-4D7A-AFBC-9CC1961BFEB0}"/>
  </bookViews>
  <sheets>
    <sheet name="fnp_dataset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fnp_datasets!$A$1:$F$4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5" r:id="rId7"/>
    <pivotCache cacheId="359" r:id="rId8"/>
    <pivotCache cacheId="362" r:id="rId9"/>
    <pivotCache cacheId="365" r:id="rId10"/>
    <pivotCache cacheId="368" r:id="rId11"/>
    <pivotCache cacheId="371" r:id="rId12"/>
    <pivotCache cacheId="374"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datasets_2c9c6274-2a5f-41fd-a4bb-9ccd3ad6531d" name="fnp_datasets" connection="Query - fnp_datasets"/>
          <x15:modelTable id="Customers_6d359127-3b10-4a06-8f30-91a33e8f6085" name="Customers" connection="Query - Customers"/>
          <x15:modelTable id="Orders_1346acdd-d45a-441e-aae9-cb9f672e807a" name="Orders" connection="Query - Orders"/>
          <x15:modelTable id="Products_3eb7f31e-4022-4ba0-b97a-7d05c96ba445"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9DA003-9C85-4AC7-9EB6-76EA56729544}" keepAlive="1" name="ModelConnection_ExternalData_1" description="Data Model" type="5" refreshedVersion="8" minRefreshableVersion="5" saveData="1">
    <dbPr connection="Data Model Connection" command="fnp_datasets" commandType="3"/>
    <extLst>
      <ext xmlns:x15="http://schemas.microsoft.com/office/spreadsheetml/2010/11/main" uri="{DE250136-89BD-433C-8126-D09CA5730AF9}">
        <x15:connection id="" model="1"/>
      </ext>
    </extLst>
  </connection>
  <connection id="2" xr16:uid="{696D0E2F-C1EA-4410-9177-6FE76982A39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C1BA20E-36A4-4C79-9827-6934DB09796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1CA9E21-44A0-45EA-A1BD-2349891BE36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81783F5-BEBB-4881-A78D-1134103C6500}" name="Query - Customers" description="Connection to the 'Customers' query in the workbook." type="100" refreshedVersion="8" minRefreshableVersion="5">
    <extLst>
      <ext xmlns:x15="http://schemas.microsoft.com/office/spreadsheetml/2010/11/main" uri="{DE250136-89BD-433C-8126-D09CA5730AF9}">
        <x15:connection id="bfb0085a-86cb-4c39-a021-656a69807fbc"/>
      </ext>
    </extLst>
  </connection>
  <connection id="6" xr16:uid="{922CD025-75B6-477F-BDDB-A0E7080F25D3}" name="Query - fnp_datasets" description="Connection to the 'fnp_datasets' query in the workbook." type="100" refreshedVersion="8" minRefreshableVersion="5">
    <extLst>
      <ext xmlns:x15="http://schemas.microsoft.com/office/spreadsheetml/2010/11/main" uri="{DE250136-89BD-433C-8126-D09CA5730AF9}">
        <x15:connection id="b5eaf534-8596-4e97-9091-9e1519c43f0e"/>
      </ext>
    </extLst>
  </connection>
  <connection id="7" xr16:uid="{49FEB69D-58B7-4A23-A8B4-E9B66029FC2E}" name="Query - Orders" description="Connection to the 'Orders' query in the workbook." type="100" refreshedVersion="8" minRefreshableVersion="5">
    <extLst>
      <ext xmlns:x15="http://schemas.microsoft.com/office/spreadsheetml/2010/11/main" uri="{DE250136-89BD-433C-8126-D09CA5730AF9}">
        <x15:connection id="7e01aee8-c5b0-4510-8a3b-783165682cae"/>
      </ext>
    </extLst>
  </connection>
  <connection id="8" xr16:uid="{02967F99-896C-48DF-8557-88EA7469AB62}" name="Query - Products" description="Connection to the 'Products' query in the workbook." type="100" refreshedVersion="8" minRefreshableVersion="5">
    <extLst>
      <ext xmlns:x15="http://schemas.microsoft.com/office/spreadsheetml/2010/11/main" uri="{DE250136-89BD-433C-8126-D09CA5730AF9}">
        <x15:connection id="18b0cbc3-64d0-447c-a5a9-eeb5f73287eb"/>
      </ext>
    </extLst>
  </connection>
  <connection id="9" xr16:uid="{6DC0CF3C-F5EE-48A5-8DD1-CB215C330E2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<sst xmlns="http://schemas.openxmlformats.org/spreadsheetml/2006/main" count="6092" uniqueCount="1023">
  <si>
    <t>Name</t>
  </si>
  <si>
    <t>Extension</t>
  </si>
  <si>
    <t>Date accessed</t>
  </si>
  <si>
    <t>Date modified</t>
  </si>
  <si>
    <t>Date created</t>
  </si>
  <si>
    <t>Folder Path</t>
  </si>
  <si>
    <t>customers.csv</t>
  </si>
  <si>
    <t>.csv</t>
  </si>
  <si>
    <t>C:\Users\SALOMI\Downloads\fnp_datasets\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</si>
  <si>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</si>
  <si>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</si>
  <si>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</si>
  <si>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</si>
  <si>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</si>
  <si>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</si>
  <si>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</si>
  <si>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</si>
  <si>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</si>
  <si>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</si>
  <si>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</si>
  <si>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</si>
  <si>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</si>
  <si>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</si>
  <si>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</si>
  <si>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</si>
  <si>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</si>
  <si>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</si>
  <si>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</si>
  <si>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</si>
  <si>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</si>
  <si>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</si>
  <si>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</si>
  <si>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</si>
  <si>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</si>
  <si>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</si>
  <si>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</si>
  <si>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</si>
  <si>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</si>
  <si>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</si>
  <si>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</si>
  <si>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</si>
  <si>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</si>
  <si>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</si>
  <si>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</si>
  <si>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</si>
  <si>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</si>
  <si>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</si>
  <si>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</si>
  <si>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</si>
  <si>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</si>
  <si>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</si>
  <si>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</si>
  <si>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</si>
  <si>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</si>
  <si>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</si>
  <si>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</si>
  <si>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</si>
  <si>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</si>
  <si>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</si>
  <si>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</si>
  <si>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</si>
  <si>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</si>
  <si>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</si>
  <si>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</si>
  <si>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</si>
  <si>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</si>
  <si>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</si>
  <si>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</si>
  <si>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</si>
  <si>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</si>
  <si>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</si>
  <si>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</si>
  <si>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</si>
  <si>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</si>
  <si>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</si>
  <si>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</si>
  <si>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</si>
  <si>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</si>
  <si>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</si>
  <si>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</si>
  <si>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</si>
  <si>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</si>
  <si>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</si>
  <si>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</si>
  <si>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</si>
  <si>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</si>
  <si>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</si>
  <si>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</si>
  <si>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</si>
  <si>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</si>
  <si>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</si>
  <si>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</si>
  <si>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</si>
  <si>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</si>
  <si>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</si>
  <si>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</si>
  <si>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</si>
  <si>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</si>
  <si>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</si>
  <si>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</si>
  <si>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</si>
  <si>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</si>
  <si>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</si>
  <si>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</si>
  <si>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</si>
  <si>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</si>
  <si>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</si>
  <si>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</si>
  <si>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</si>
  <si>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</si>
  <si>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</si>
  <si>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</si>
  <si>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</si>
  <si>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</si>
  <si>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</si>
  <si>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</si>
  <si>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</si>
  <si>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</si>
  <si>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</si>
  <si>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</si>
  <si>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</si>
  <si>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</si>
  <si>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</si>
  <si>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</si>
  <si>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</si>
  <si>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</si>
  <si>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</si>
  <si>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</si>
  <si>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</si>
  <si>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</si>
  <si>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</si>
  <si>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</si>
  <si>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</si>
  <si>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</si>
  <si>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</si>
  <si>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</si>
  <si>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</si>
  <si>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</si>
  <si>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</si>
  <si>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</si>
  <si>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</si>
  <si>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</si>
  <si>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</si>
  <si>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</si>
  <si>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</si>
  <si>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</si>
  <si>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</si>
  <si>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</si>
  <si>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</si>
  <si>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</si>
  <si>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</si>
  <si>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</si>
  <si>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</si>
  <si>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</si>
  <si>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</si>
  <si>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</si>
  <si>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</si>
  <si>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</si>
  <si>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</si>
  <si>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</si>
  <si>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</si>
  <si>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</si>
  <si>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</si>
  <si>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</si>
  <si>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</si>
  <si>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</si>
  <si>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</si>
  <si>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</si>
  <si>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</si>
  <si>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</si>
  <si>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</si>
  <si>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</si>
  <si>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</si>
  <si>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</si>
  <si>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</si>
  <si>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</si>
  <si>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</si>
  <si>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</si>
  <si>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</si>
  <si>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</si>
  <si>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</si>
  <si>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</si>
  <si>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</si>
  <si>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</si>
  <si>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</si>
  <si>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</si>
  <si>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</si>
  <si>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</si>
  <si>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</si>
  <si>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</si>
  <si>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</si>
  <si>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</si>
  <si>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</si>
  <si>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</si>
  <si>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</si>
  <si>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</si>
  <si>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</si>
  <si>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</si>
  <si>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</si>
  <si>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</si>
  <si>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</si>
  <si>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</si>
  <si>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</si>
  <si>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</si>
  <si>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</si>
  <si>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</si>
  <si>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</si>
  <si>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</si>
  <si>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</si>
  <si>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</si>
  <si>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</si>
  <si>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</si>
  <si>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</si>
  <si>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</si>
  <si>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</si>
  <si>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</si>
  <si>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</si>
  <si>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</si>
  <si>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</si>
  <si>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</si>
  <si>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</si>
  <si>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</si>
  <si>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</si>
  <si>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</si>
  <si>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</si>
  <si>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</si>
  <si>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</si>
  <si>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</si>
  <si>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</si>
  <si>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</si>
  <si>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</si>
  <si>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</si>
  <si>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</si>
  <si>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</si>
  <si>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</si>
  <si>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</si>
  <si>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</si>
  <si>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</si>
  <si>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</si>
  <si>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</si>
  <si>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</si>
  <si>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</si>
  <si>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</si>
  <si>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</si>
  <si>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</si>
  <si>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</si>
  <si>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</si>
  <si>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</si>
  <si>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</si>
  <si>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</si>
  <si>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</si>
  <si>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</si>
  <si>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</si>
  <si>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</si>
  <si>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</si>
  <si>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</si>
  <si>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</si>
  <si>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</si>
  <si>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</si>
  <si>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</si>
  <si>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</si>
  <si>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</si>
  <si>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</si>
  <si>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</si>
  <si>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</si>
  <si>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</si>
  <si>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</si>
  <si>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</si>
  <si>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</si>
  <si>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</si>
  <si>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</si>
  <si>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</si>
  <si>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</si>
  <si>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</si>
  <si>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</si>
  <si>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</si>
  <si>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</si>
  <si>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</si>
  <si>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</si>
  <si>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</si>
  <si>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</si>
  <si>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</si>
  <si>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</si>
  <si>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</si>
  <si>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</si>
  <si>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</si>
  <si>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</si>
  <si>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</si>
  <si>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</si>
  <si>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</si>
  <si>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</si>
  <si>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</si>
  <si>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</si>
  <si>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</si>
  <si>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</si>
  <si>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</si>
  <si>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</si>
  <si>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</si>
  <si>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</si>
  <si>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</si>
  <si>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</si>
  <si>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</si>
  <si>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</si>
  <si>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</si>
  <si>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</si>
  <si>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</si>
  <si>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</si>
  <si>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</si>
  <si>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</si>
  <si>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</si>
  <si>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</si>
  <si>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</si>
  <si>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</si>
  <si>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</si>
  <si>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</si>
  <si>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</si>
  <si>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</si>
  <si>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</si>
  <si>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</si>
  <si>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</si>
  <si>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</si>
  <si>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</si>
  <si>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</si>
  <si>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</si>
  <si>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</si>
  <si>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</si>
  <si>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</si>
  <si>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</si>
  <si>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</si>
  <si>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</si>
  <si>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</si>
  <si>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</si>
  <si>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</si>
  <si>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</si>
  <si>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</si>
  <si>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</si>
  <si>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</si>
  <si>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</si>
  <si>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</si>
  <si>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</si>
  <si>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</si>
  <si>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</si>
  <si>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</si>
  <si>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</si>
  <si>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</si>
  <si>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</si>
  <si>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</si>
  <si>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</si>
  <si>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</si>
  <si>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</si>
  <si>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</si>
  <si>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</si>
  <si>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</si>
  <si>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</si>
  <si>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</si>
  <si>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</si>
  <si>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</si>
  <si>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</si>
  <si>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</si>
  <si>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</si>
  <si>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</si>
  <si>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</si>
  <si>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</si>
  <si>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</si>
  <si>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</si>
  <si>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</si>
  <si>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</si>
  <si>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</si>
  <si>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</si>
  <si>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</si>
  <si>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</si>
  <si>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</si>
  <si>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</si>
  <si>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</si>
  <si>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</si>
  <si>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</si>
  <si>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</si>
  <si>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</si>
  <si>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</si>
  <si>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</si>
  <si>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</si>
  <si>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</si>
  <si>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</si>
  <si>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</si>
  <si>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</si>
  <si>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</si>
  <si>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</si>
  <si>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</si>
  <si>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</si>
  <si>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</si>
  <si>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</si>
  <si>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</si>
  <si>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</si>
  <si>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</si>
  <si>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</si>
  <si>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</si>
  <si>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</si>
  <si>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</si>
  <si>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</si>
  <si>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</si>
  <si>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</si>
  <si>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</si>
  <si>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</si>
  <si>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</si>
  <si>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</si>
  <si>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</si>
  <si>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</si>
  <si>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</si>
  <si>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</si>
  <si>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</si>
  <si>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</si>
  <si>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</si>
  <si>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</si>
  <si>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</si>
  <si>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</si>
  <si>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</si>
  <si>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</si>
  <si>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</si>
  <si>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</si>
  <si>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</si>
  <si>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</si>
  <si>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</si>
  <si>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</si>
  <si>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</si>
  <si>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</si>
  <si>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</si>
  <si>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</si>
  <si>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</si>
  <si>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</si>
  <si>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</si>
  <si>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</si>
  <si>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</si>
  <si>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</si>
  <si>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</si>
  <si>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</si>
  <si>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</si>
  <si>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</si>
  <si>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</si>
  <si>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</si>
  <si>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</si>
  <si>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</si>
  <si>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</si>
  <si>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</si>
  <si>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</si>
  <si>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</si>
  <si>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</si>
  <si>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</si>
  <si>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</si>
  <si>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</si>
  <si>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</si>
  <si>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</si>
  <si>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</si>
  <si>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</si>
  <si>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</si>
  <si>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</si>
  <si>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</si>
  <si>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</si>
  <si>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</si>
  <si>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</si>
  <si>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</si>
  <si>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</si>
  <si>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</si>
  <si>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</si>
  <si>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</si>
  <si>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</si>
  <si>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</si>
  <si>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</si>
  <si>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</si>
  <si>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</si>
  <si>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</si>
  <si>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</si>
  <si>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</si>
  <si>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</si>
  <si>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</si>
  <si>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</si>
  <si>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</si>
  <si>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</si>
  <si>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</si>
  <si>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</si>
  <si>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</si>
  <si>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</si>
  <si>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</si>
  <si>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</si>
  <si>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</si>
  <si>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</si>
  <si>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</si>
  <si>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</si>
  <si>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</si>
  <si>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</si>
  <si>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</si>
  <si>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</si>
  <si>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</si>
  <si>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</si>
  <si>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</si>
  <si>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</si>
  <si>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</si>
  <si>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</si>
  <si>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</si>
  <si>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</si>
  <si>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</si>
  <si>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</si>
  <si>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</si>
  <si>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</si>
  <si>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</si>
  <si>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</si>
  <si>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</si>
  <si>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</si>
  <si>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</si>
  <si>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</si>
  <si>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</si>
  <si>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</si>
  <si>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</si>
  <si>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</si>
  <si>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</si>
  <si>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</si>
  <si>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</si>
  <si>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</si>
  <si>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</si>
  <si>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</si>
  <si>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</si>
  <si>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</si>
  <si>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</si>
  <si>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</si>
  <si>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</si>
  <si>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</si>
  <si>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</si>
  <si>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</si>
  <si>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</si>
  <si>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</si>
  <si>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</si>
  <si>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</si>
  <si>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</si>
  <si>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</si>
  <si>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</si>
  <si>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</si>
  <si>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</si>
  <si>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</si>
  <si>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</si>
  <si>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</si>
  <si>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</si>
  <si>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</si>
  <si>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</si>
  <si>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</si>
  <si>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</si>
  <si>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</si>
  <si>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</si>
  <si>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</si>
  <si>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</si>
  <si>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</si>
  <si>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</si>
  <si>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</si>
  <si>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</si>
  <si>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</si>
  <si>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</si>
  <si>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</si>
  <si>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</si>
  <si>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</si>
  <si>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</si>
  <si>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</si>
  <si>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</si>
  <si>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</si>
  <si>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</si>
  <si>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</si>
  <si>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</si>
  <si>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</si>
  <si>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</si>
  <si>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</si>
  <si>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</si>
  <si>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</si>
  <si>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</si>
  <si>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</si>
  <si>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</si>
  <si>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</si>
  <si>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</si>
  <si>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</si>
  <si>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</si>
  <si>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</si>
  <si>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</si>
  <si>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</si>
  <si>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</si>
  <si>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</si>
  <si>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</si>
  <si>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</si>
  <si>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</si>
  <si>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</si>
  <si>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</si>
  <si>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</si>
  <si>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</si>
  <si>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</si>
  <si>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</si>
  <si>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</si>
  <si>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</si>
  <si>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</si>
  <si>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</si>
  <si>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</si>
  <si>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</si>
  <si>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</si>
  <si>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</si>
  <si>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</si>
  <si>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</si>
  <si>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</si>
  <si>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</si>
  <si>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</si>
  <si>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</si>
  <si>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</si>
  <si>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</si>
  <si>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</si>
  <si>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</si>
  <si>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</si>
  <si>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</si>
  <si>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</si>
  <si>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</si>
  <si>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</si>
  <si>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</si>
  <si>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Order_Month</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</si>
  <si>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</si>
  <si>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</si>
  <si>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</si>
  <si>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</si>
  <si>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</si>
  <si>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</si>
  <si>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</si>
  <si>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</si>
  <si>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</si>
  <si>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</si>
  <si>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</si>
  <si>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</si>
  <si>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</si>
  <si>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</si>
  <si>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</si>
  <si>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</si>
  <si>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</si>
  <si>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</si>
  <si>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</si>
  <si>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</si>
  <si>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</si>
  <si>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</si>
  <si>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</si>
  <si>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</si>
  <si>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</si>
  <si>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</si>
  <si>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</si>
  <si>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</si>
  <si>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</si>
  <si>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</si>
  <si>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</si>
  <si>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</si>
  <si>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</si>
  <si>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</si>
  <si>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</si>
  <si>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</si>
  <si>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</si>
  <si>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</si>
  <si>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</si>
  <si>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</si>
  <si>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</si>
  <si>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</si>
  <si>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</si>
  <si>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</si>
  <si>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</si>
  <si>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</si>
  <si>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</si>
  <si>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</si>
  <si>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</si>
  <si>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</si>
  <si>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</si>
  <si>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</si>
  <si>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</si>
  <si>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</si>
  <si>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</si>
  <si>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</si>
  <si>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</si>
  <si>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</si>
  <si>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</si>
  <si>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</si>
  <si>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</si>
  <si>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</si>
  <si>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</si>
  <si>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</si>
  <si>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</si>
  <si>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</si>
  <si>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</si>
  <si>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</si>
  <si>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</si>
  <si>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</si>
  <si>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</si>
  <si>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</si>
  <si>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</si>
  <si>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</si>
  <si>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</si>
  <si>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</si>
  <si>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</si>
  <si>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</si>
  <si>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</si>
  <si>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</si>
  <si>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</si>
  <si>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</si>
  <si>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</si>
  <si>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</si>
  <si>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</si>
  <si>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</si>
  <si>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</si>
  <si>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</si>
  <si>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</si>
  <si>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</si>
  <si>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</si>
  <si>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</si>
  <si>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</si>
  <si>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</si>
  <si>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</si>
  <si>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</si>
  <si>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</si>
  <si>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</si>
  <si>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</si>
  <si>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</si>
  <si>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</si>
  <si>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</si>
  <si>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</si>
  <si>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</si>
  <si>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</si>
  <si>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</si>
  <si>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</si>
  <si>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</si>
  <si>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</si>
  <si>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</si>
  <si>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</si>
  <si>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</si>
  <si>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</si>
  <si>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</si>
  <si>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</si>
  <si>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</si>
  <si>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</si>
  <si>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</si>
  <si>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</si>
  <si>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</si>
  <si>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</si>
  <si>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</si>
  <si>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</si>
  <si>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</si>
  <si>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</si>
  <si>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</si>
  <si>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</si>
  <si>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</si>
  <si>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</si>
  <si>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</si>
  <si>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</si>
  <si>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</si>
  <si>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</si>
  <si>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</si>
  <si>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</si>
  <si>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</si>
  <si>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</si>
  <si>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</si>
  <si>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</si>
  <si>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</si>
  <si>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</si>
  <si>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</si>
  <si>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</si>
  <si>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</si>
  <si>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</si>
  <si>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</si>
  <si>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</si>
  <si>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</si>
  <si>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</si>
  <si>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</si>
  <si>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</si>
  <si>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</si>
  <si>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</si>
  <si>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</si>
  <si>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</si>
  <si>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</si>
  <si>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</si>
  <si>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</si>
  <si>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</si>
  <si>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</si>
  <si>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</si>
  <si>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</si>
  <si>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</si>
  <si>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</si>
  <si>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</si>
  <si>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</si>
  <si>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</si>
  <si>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</si>
  <si>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</si>
  <si>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</si>
  <si>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</si>
  <si>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</si>
  <si>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</si>
  <si>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</si>
  <si>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</si>
  <si>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</si>
  <si>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</si>
  <si>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</si>
  <si>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</si>
  <si>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</si>
  <si>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</si>
  <si>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</si>
  <si>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</si>
  <si>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</si>
  <si>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</si>
  <si>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</si>
  <si>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</si>
  <si>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</si>
  <si>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</si>
  <si>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</si>
  <si>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</si>
  <si>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</si>
  <si>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</si>
  <si>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</si>
  <si>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</si>
  <si>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</si>
  <si>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</si>
  <si>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</si>
  <si>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</si>
  <si>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</si>
  <si>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</si>
  <si>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</si>
  <si>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</si>
  <si>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</si>
  <si>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</si>
  <si>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</si>
  <si>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</si>
  <si>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</si>
  <si>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</si>
  <si>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</si>
  <si>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</si>
  <si>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</si>
  <si>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</si>
  <si>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</si>
  <si>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</si>
  <si>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</si>
  <si>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</si>
  <si>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</si>
  <si>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</si>
  <si>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</si>
  <si>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</si>
  <si>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</si>
  <si>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</si>
  <si>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</si>
  <si>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</si>
  <si>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</si>
  <si>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</si>
  <si>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</si>
  <si>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</si>
  <si>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</si>
  <si>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</si>
  <si>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</si>
  <si>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</si>
  <si>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</si>
  <si>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</si>
  <si>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</si>
  <si>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</si>
  <si>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</si>
  <si>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</si>
  <si>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</si>
  <si>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</si>
  <si>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</si>
  <si>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</si>
  <si>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</si>
  <si>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</si>
  <si>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</si>
  <si>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</si>
  <si>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</si>
  <si>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</si>
  <si>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</si>
  <si>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</si>
  <si>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</si>
  <si>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</si>
  <si>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</si>
  <si>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</si>
  <si>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</si>
  <si>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</si>
  <si>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</si>
  <si>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</si>
  <si>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</si>
  <si>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</si>
  <si>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</si>
  <si>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</si>
  <si>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</si>
  <si>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</si>
  <si>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</si>
  <si>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</si>
  <si>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</si>
  <si>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</si>
  <si>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</si>
  <si>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</si>
  <si>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</si>
  <si>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</si>
  <si>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</si>
  <si>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</si>
  <si>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</si>
  <si>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</si>
  <si>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</si>
  <si>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</si>
  <si>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</si>
  <si>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</si>
  <si>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</si>
  <si>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</si>
  <si>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</si>
  <si>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</si>
  <si>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</si>
  <si>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</si>
  <si>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</si>
  <si>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</si>
  <si>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</si>
  <si>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</si>
  <si>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</si>
  <si>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</si>
  <si>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</si>
  <si>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</si>
  <si>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</si>
  <si>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</si>
  <si>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</si>
  <si>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</si>
  <si>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</si>
  <si>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</si>
  <si>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</si>
  <si>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</si>
  <si>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</si>
  <si>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</si>
  <si>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</si>
  <si>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</si>
  <si>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</si>
  <si>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</si>
  <si>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</si>
  <si>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</si>
  <si>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</si>
  <si>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</si>
  <si>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</si>
  <si>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</si>
  <si>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</si>
  <si>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</si>
  <si>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</si>
  <si>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</si>
  <si>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</si>
  <si>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</si>
  <si>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</si>
  <si>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</si>
  <si>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</si>
  <si>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</si>
  <si>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</si>
  <si>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</si>
  <si>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</si>
  <si>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</si>
  <si>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</si>
  <si>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</si>
  <si>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</si>
  <si>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</si>
  <si>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</si>
  <si>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</si>
  <si>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</si>
  <si>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</si>
  <si>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</si>
  <si>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</si>
  <si>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</si>
  <si>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</si>
  <si>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</si>
  <si>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</si>
  <si>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</si>
  <si>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</si>
  <si>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</si>
  <si>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</si>
  <si>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</si>
  <si>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</si>
  <si>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</si>
  <si>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</si>
  <si>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</si>
  <si>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</si>
  <si>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</si>
  <si>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</si>
  <si>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</si>
  <si>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</si>
  <si>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</si>
  <si>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</si>
  <si>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</si>
  <si>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</si>
  <si>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</si>
  <si>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</si>
  <si>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</si>
  <si>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</si>
  <si>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</si>
  <si>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</si>
  <si>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</si>
  <si>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</si>
  <si>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</si>
  <si>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</si>
  <si>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</si>
  <si>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</si>
  <si>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</si>
  <si>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</si>
  <si>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</si>
  <si>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</si>
  <si>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</si>
  <si>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</si>
  <si>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</si>
  <si>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</si>
  <si>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</si>
  <si>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</si>
  <si>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</si>
  <si>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</si>
  <si>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</si>
  <si>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</si>
  <si>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</si>
  <si>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</si>
  <si>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</si>
  <si>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</si>
  <si>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(Order Date)</t>
  </si>
  <si>
    <t>Saturday</t>
  </si>
  <si>
    <t>Wednesday</t>
  </si>
  <si>
    <t>Friday</t>
  </si>
  <si>
    <t>Sunday</t>
  </si>
  <si>
    <t>Monday</t>
  </si>
  <si>
    <t>Tuesday</t>
  </si>
  <si>
    <t>Thursday</t>
  </si>
  <si>
    <t>Column1</t>
  </si>
  <si>
    <t>Sum of Revenue</t>
  </si>
  <si>
    <t>Average of diff_order_delivery</t>
  </si>
  <si>
    <t>Count of Order_ID</t>
  </si>
  <si>
    <t>strongly negative = -1</t>
  </si>
  <si>
    <t>strongly positive = 1</t>
  </si>
  <si>
    <t>neutral = near zero</t>
  </si>
  <si>
    <t>Average of Customer Spendings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</si>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</sst>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65" fontId="0" fillId="0" borderId="0" xfId="0" applyNumberFormat="1"/>
    <xf numFmtId="166" fontId="0" fillId="0" borderId="0" xfId="0" applyNumberFormat="1"/>
    <xf numFmtId="0"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^0 Petal Sales Analysis.xlsx]Sheet1!PivotTable8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Sheet1!$I$13</c:f>
              <c:strCache>
                <c:ptCount val="1"/>
                <c:pt idx="0">
                  <c:v>Total</c:v>
                </c:pt>
              </c:strCache>
            </c:strRef>
          </c:tx>
          <c:spPr>
            <a:solidFill>
              <a:schemeClr val="accent1"/>
            </a:solidFill>
            <a:ln>
              <a:noFill/>
            </a:ln>
            <a:effectLst/>
          </c:spPr>
          <c:invertIfNegative val="0"/>
          <c:cat>
            <c:strRef>
              <c:f>Sheet1!$H$14:$H$21</c:f>
              <c:strCache>
                <c:ptCount val="7"/>
                <c:pt idx="0">
                  <c:v>All Occasions</c:v>
                </c:pt>
                <c:pt idx="1">
                  <c:v>Anniversary</c:v>
                </c:pt>
                <c:pt idx="2">
                  <c:v>Birthday</c:v>
                </c:pt>
                <c:pt idx="3">
                  <c:v>Diwali</c:v>
                </c:pt>
                <c:pt idx="4">
                  <c:v>Holi</c:v>
                </c:pt>
                <c:pt idx="5">
                  <c:v>Raksha Bandhan</c:v>
                </c:pt>
                <c:pt idx="6">
                  <c:v>Valentine's Day</c:v>
                </c:pt>
              </c:strCache>
            </c:strRef>
          </c:cat>
          <c:val>
            <c:numRef>
              <c:f>Sheet1!$I$14:$I$21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DB19-46C1-B767-6CD2CF35CF17}"/>
            </c:ext>
          </c:extLst>
        </c:ser>
        <c:dLbls>
          <c:showLegendKey val="0"/>
          <c:showVal val="0"/>
          <c:showCatName val="0"/>
          <c:showSerName val="0"/>
          <c:showPercent val="0"/>
          <c:showBubbleSize val="0"/>
        </c:dLbls>
        <c:gapWidth val="219"/>
        <c:overlap val="-27"/>
        <c:axId val="583847424"/>
        <c:axId val="1222212560"/>
      </c:barChart>
      <c:catAx>
        <c:axId val="58384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12560"/>
        <c:crosses val="autoZero"/>
        <c:auto val="1"/>
        <c:lblAlgn val="ctr"/>
        <c:lblOffset val="100"/>
        <c:noMultiLvlLbl val="0"/>
      </c:catAx>
      <c:valAx>
        <c:axId val="122221256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84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^0 Petal Sales Analysis.xlsx]Sheet1!PivotTable6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0D78-4071-A515-80A164C9C1B9}"/>
            </c:ext>
          </c:extLst>
        </c:ser>
        <c:dLbls>
          <c:showLegendKey val="0"/>
          <c:showVal val="0"/>
          <c:showCatName val="0"/>
          <c:showSerName val="0"/>
          <c:showPercent val="0"/>
          <c:showBubbleSize val="0"/>
        </c:dLbls>
        <c:gapWidth val="219"/>
        <c:overlap val="-27"/>
        <c:axId val="1353295600"/>
        <c:axId val="1353296080"/>
      </c:barChart>
      <c:catAx>
        <c:axId val="135329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296080"/>
        <c:crosses val="autoZero"/>
        <c:auto val="1"/>
        <c:lblAlgn val="ctr"/>
        <c:lblOffset val="100"/>
        <c:noMultiLvlLbl val="0"/>
      </c:catAx>
      <c:valAx>
        <c:axId val="135329608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29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^0 Petal Sales Analysis.xlsx]Sheet1!PivotTable3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837A-4BAE-BCC3-5D3156B771D5}"/>
            </c:ext>
          </c:extLst>
        </c:ser>
        <c:dLbls>
          <c:showLegendKey val="0"/>
          <c:showVal val="0"/>
          <c:showCatName val="0"/>
          <c:showSerName val="0"/>
          <c:showPercent val="0"/>
          <c:showBubbleSize val="0"/>
        </c:dLbls>
        <c:smooth val="0"/>
        <c:axId val="1107429040"/>
        <c:axId val="1107428080"/>
      </c:lineChart>
      <c:catAx>
        <c:axId val="11074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28080"/>
        <c:crosses val="autoZero"/>
        <c:auto val="1"/>
        <c:lblAlgn val="ctr"/>
        <c:lblOffset val="100"/>
        <c:noMultiLvlLbl val="0"/>
      </c:catAx>
      <c:valAx>
        <c:axId val="110742808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2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^0 Petal 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Sheet1!$F$14</c:f>
              <c:strCache>
                <c:ptCount val="1"/>
                <c:pt idx="0">
                  <c:v>Total</c:v>
                </c:pt>
              </c:strCache>
            </c:strRef>
          </c:tx>
          <c:spPr>
            <a:solidFill>
              <a:schemeClr val="accent1"/>
            </a:solidFill>
            <a:ln>
              <a:noFill/>
            </a:ln>
            <a:effectLst/>
          </c:spPr>
          <c:invertIfNegative val="0"/>
          <c:cat>
            <c:strRef>
              <c:f>Sheet1!$E$15:$E$25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E0DB-419C-8B76-CE7CBF02AD01}"/>
            </c:ext>
          </c:extLst>
        </c:ser>
        <c:dLbls>
          <c:showLegendKey val="0"/>
          <c:showVal val="0"/>
          <c:showCatName val="0"/>
          <c:showSerName val="0"/>
          <c:showPercent val="0"/>
          <c:showBubbleSize val="0"/>
        </c:dLbls>
        <c:gapWidth val="219"/>
        <c:overlap val="-27"/>
        <c:axId val="1107429520"/>
        <c:axId val="95534383"/>
      </c:barChart>
      <c:catAx>
        <c:axId val="110742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4383"/>
        <c:crosses val="autoZero"/>
        <c:auto val="1"/>
        <c:lblAlgn val="ctr"/>
        <c:lblOffset val="100"/>
        <c:noMultiLvlLbl val="0"/>
      </c:catAx>
      <c:valAx>
        <c:axId val="95534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2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^0 Petal Sales Analysis.xlsx]Sheet1!PivotTable9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Sheet1!$C$30</c:f>
              <c:strCache>
                <c:ptCount val="1"/>
                <c:pt idx="0">
                  <c:v>Total</c:v>
                </c:pt>
              </c:strCache>
            </c:strRef>
          </c:tx>
          <c:spPr>
            <a:ln w="28575" cap="rnd">
              <a:solidFill>
                <a:schemeClr val="accent1"/>
              </a:solidFill>
              <a:round/>
            </a:ln>
            <a:effectLst/>
          </c:spPr>
          <c:marker>
            <c:symbol val="none"/>
          </c:marker>
          <c:cat>
            <c:strRef>
              <c:f>Sheet1!$B$31:$B$55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Sheet1!$C$31:$C$55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F033-48C4-ACC9-50C64880F305}"/>
            </c:ext>
          </c:extLst>
        </c:ser>
        <c:dLbls>
          <c:showLegendKey val="0"/>
          <c:showVal val="0"/>
          <c:showCatName val="0"/>
          <c:showSerName val="0"/>
          <c:showPercent val="0"/>
          <c:showBubbleSize val="0"/>
        </c:dLbls>
        <c:smooth val="0"/>
        <c:axId val="1222211120"/>
        <c:axId val="1222212080"/>
      </c:lineChart>
      <c:catAx>
        <c:axId val="122221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12080"/>
        <c:crosses val="autoZero"/>
        <c:auto val="1"/>
        <c:lblAlgn val="ctr"/>
        <c:lblOffset val="100"/>
        <c:tickLblSkip val="2"/>
        <c:tickMarkSkip val="2"/>
        <c:noMultiLvlLbl val="0"/>
      </c:catAx>
      <c:valAx>
        <c:axId val="122221208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1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^0 Petal Sales 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3301-45CA-8A42-476DBD1DD80B}"/>
            </c:ext>
          </c:extLst>
        </c:ser>
        <c:dLbls>
          <c:showLegendKey val="0"/>
          <c:showVal val="0"/>
          <c:showCatName val="0"/>
          <c:showSerName val="0"/>
          <c:showPercent val="0"/>
          <c:showBubbleSize val="0"/>
        </c:dLbls>
        <c:gapWidth val="219"/>
        <c:overlap val="-27"/>
        <c:axId val="1783051136"/>
        <c:axId val="97422943"/>
      </c:barChart>
      <c:catAx>
        <c:axId val="178305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2943"/>
        <c:crosses val="autoZero"/>
        <c:auto val="1"/>
        <c:lblAlgn val="ctr"/>
        <c:lblOffset val="100"/>
        <c:noMultiLvlLbl val="0"/>
      </c:catAx>
      <c:valAx>
        <c:axId val="97422943"/>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05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4</xdr:row>
      <xdr:rowOff>152400</xdr:rowOff>
    </xdr:from>
    <xdr:to>
      <xdr:col>6</xdr:col>
      <xdr:colOff>601980</xdr:colOff>
      <xdr:row>19</xdr:row>
      <xdr:rowOff>162128</xdr:rowOff>
    </xdr:to>
    <xdr:graphicFrame macro="">
      <xdr:nvGraphicFramePr>
        <xdr:cNvPr id="2" name="Chart 1">
          <a:extLst>
            <a:ext uri="{FF2B5EF4-FFF2-40B4-BE49-F238E27FC236}">
              <a16:creationId xmlns:a16="http://schemas.microsoft.com/office/drawing/2014/main" id="{98142900-AD6C-4B6E-8E4A-4E3392908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xdr:colOff>
      <xdr:row>4</xdr:row>
      <xdr:rowOff>152400</xdr:rowOff>
    </xdr:from>
    <xdr:to>
      <xdr:col>13</xdr:col>
      <xdr:colOff>495300</xdr:colOff>
      <xdr:row>19</xdr:row>
      <xdr:rowOff>160020</xdr:rowOff>
    </xdr:to>
    <xdr:graphicFrame macro="">
      <xdr:nvGraphicFramePr>
        <xdr:cNvPr id="3" name="Chart 2">
          <a:extLst>
            <a:ext uri="{FF2B5EF4-FFF2-40B4-BE49-F238E27FC236}">
              <a16:creationId xmlns:a16="http://schemas.microsoft.com/office/drawing/2014/main" id="{0C51E3E8-379D-4A4F-BA2E-B6DEF5F3F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60473</xdr:colOff>
      <xdr:row>20</xdr:row>
      <xdr:rowOff>5512</xdr:rowOff>
    </xdr:from>
    <xdr:to>
      <xdr:col>6</xdr:col>
      <xdr:colOff>599872</xdr:colOff>
      <xdr:row>35</xdr:row>
      <xdr:rowOff>24319</xdr:rowOff>
    </xdr:to>
    <xdr:graphicFrame macro="">
      <xdr:nvGraphicFramePr>
        <xdr:cNvPr id="4" name="Chart 3">
          <a:extLst>
            <a:ext uri="{FF2B5EF4-FFF2-40B4-BE49-F238E27FC236}">
              <a16:creationId xmlns:a16="http://schemas.microsoft.com/office/drawing/2014/main" id="{EC002AAE-5EFD-4F55-8266-270228EF8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548640</xdr:colOff>
      <xdr:row>20</xdr:row>
      <xdr:rowOff>0</xdr:rowOff>
    </xdr:from>
    <xdr:to>
      <xdr:col>20</xdr:col>
      <xdr:colOff>176310</xdr:colOff>
      <xdr:row>35</xdr:row>
      <xdr:rowOff>7620</xdr:rowOff>
    </xdr:to>
    <xdr:graphicFrame macro="">
      <xdr:nvGraphicFramePr>
        <xdr:cNvPr id="5" name="Chart 4">
          <a:extLst>
            <a:ext uri="{FF2B5EF4-FFF2-40B4-BE49-F238E27FC236}">
              <a16:creationId xmlns:a16="http://schemas.microsoft.com/office/drawing/2014/main" id="{6F05FAFF-0D4E-48D0-A568-EFC5D003B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541020</xdr:colOff>
      <xdr:row>4</xdr:row>
      <xdr:rowOff>160020</xdr:rowOff>
    </xdr:from>
    <xdr:to>
      <xdr:col>20</xdr:col>
      <xdr:colOff>190500</xdr:colOff>
      <xdr:row>19</xdr:row>
      <xdr:rowOff>160020</xdr:rowOff>
    </xdr:to>
    <xdr:graphicFrame macro="">
      <xdr:nvGraphicFramePr>
        <xdr:cNvPr id="6" name="Chart 5">
          <a:extLst>
            <a:ext uri="{FF2B5EF4-FFF2-40B4-BE49-F238E27FC236}">
              <a16:creationId xmlns:a16="http://schemas.microsoft.com/office/drawing/2014/main" id="{2BF84756-C67C-4B49-B4A4-2CC23DF89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45720</xdr:colOff>
      <xdr:row>20</xdr:row>
      <xdr:rowOff>7620</xdr:rowOff>
    </xdr:from>
    <xdr:to>
      <xdr:col>13</xdr:col>
      <xdr:colOff>502920</xdr:colOff>
      <xdr:row>35</xdr:row>
      <xdr:rowOff>7620</xdr:rowOff>
    </xdr:to>
    <xdr:graphicFrame macro="">
      <xdr:nvGraphicFramePr>
        <xdr:cNvPr id="7" name="Chart 6">
          <a:extLst>
            <a:ext uri="{FF2B5EF4-FFF2-40B4-BE49-F238E27FC236}">
              <a16:creationId xmlns:a16="http://schemas.microsoft.com/office/drawing/2014/main" id="{C51EDE15-AB16-462F-BA3A-67ECA5C50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306582</xdr:colOff>
      <xdr:row>0</xdr:row>
      <xdr:rowOff>146238</xdr:rowOff>
    </xdr:from>
    <xdr:to>
      <xdr:col>8</xdr:col>
      <xdr:colOff>224384</xdr:colOff>
      <xdr:row>4</xdr:row>
      <xdr:rowOff>92898</xdr:rowOff>
    </xdr:to>
    <xdr:sp macro="" textlink="Sheet1!E3">
      <xdr:nvSpPr>
        <xdr:cNvPr id="8" name="Rectangle: Rounded Corners 7">
          <a:extLst>
            <a:ext uri="{FF2B5EF4-FFF2-40B4-BE49-F238E27FC236}">
              <a16:creationId xmlns:a16="http://schemas.microsoft.com/office/drawing/2014/main" id="{0254F3E3-8D0E-1C02-FA12-8A81BE0CBB8D}"/>
            </a:ext>
          </a:extLst>
        </xdr:cNvPr>
        <xdr:cNvSpPr/>
      </xdr:nvSpPr>
      <xdr:spPr>
        <a:xfrm>
          <a:off x="2751681" y="146238"/>
          <a:ext cx="2362901" cy="6835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CC02C82-9599-4FFE-8895-210DAC9028F4}"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p>
        <a:p>
          <a:pPr algn="ctr"/>
          <a:endParaRPr lang="en-IN" sz="1600"/>
        </a:p>
      </xdr:txBody>
    </xdr:sp>
    <xdr:clientData/>
  </xdr:twoCellAnchor>
  <xdr:twoCellAnchor>
    <xdr:from>
      <xdr:col>8</xdr:col>
      <xdr:colOff>293940</xdr:colOff>
      <xdr:row>0</xdr:row>
      <xdr:rowOff>131000</xdr:rowOff>
    </xdr:from>
    <xdr:to>
      <xdr:col>12</xdr:col>
      <xdr:colOff>210120</xdr:colOff>
      <xdr:row>4</xdr:row>
      <xdr:rowOff>77660</xdr:rowOff>
    </xdr:to>
    <xdr:sp macro="" textlink="Sheet1!F3">
      <xdr:nvSpPr>
        <xdr:cNvPr id="12" name="Rectangle: Rounded Corners 11">
          <a:extLst>
            <a:ext uri="{FF2B5EF4-FFF2-40B4-BE49-F238E27FC236}">
              <a16:creationId xmlns:a16="http://schemas.microsoft.com/office/drawing/2014/main" id="{D9BAE155-356D-44E7-B850-F2080FD9FB23}"/>
            </a:ext>
          </a:extLst>
        </xdr:cNvPr>
        <xdr:cNvSpPr/>
      </xdr:nvSpPr>
      <xdr:spPr>
        <a:xfrm>
          <a:off x="5184138" y="131000"/>
          <a:ext cx="2361279" cy="6835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168453-7D52-4E21-AEC3-9F6FA83AFC5C}"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12</xdr:col>
      <xdr:colOff>279184</xdr:colOff>
      <xdr:row>0</xdr:row>
      <xdr:rowOff>138619</xdr:rowOff>
    </xdr:from>
    <xdr:to>
      <xdr:col>16</xdr:col>
      <xdr:colOff>195363</xdr:colOff>
      <xdr:row>4</xdr:row>
      <xdr:rowOff>85279</xdr:rowOff>
    </xdr:to>
    <xdr:sp macro="" textlink="Sheet1!G3">
      <xdr:nvSpPr>
        <xdr:cNvPr id="13" name="Rectangle: Rounded Corners 12">
          <a:extLst>
            <a:ext uri="{FF2B5EF4-FFF2-40B4-BE49-F238E27FC236}">
              <a16:creationId xmlns:a16="http://schemas.microsoft.com/office/drawing/2014/main" id="{624E088B-B9D2-4D8A-A0DD-7E410EB4591D}"/>
            </a:ext>
          </a:extLst>
        </xdr:cNvPr>
        <xdr:cNvSpPr/>
      </xdr:nvSpPr>
      <xdr:spPr>
        <a:xfrm>
          <a:off x="7614481" y="138619"/>
          <a:ext cx="2361278" cy="6835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6D5F26-9D56-4931-A629-9F1827ED33F4}"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 Time</a:t>
          </a:r>
          <a:endParaRPr lang="en-IN" sz="1600"/>
        </a:p>
      </xdr:txBody>
    </xdr:sp>
    <xdr:clientData/>
  </xdr:twoCellAnchor>
  <xdr:twoCellAnchor>
    <xdr:from>
      <xdr:col>16</xdr:col>
      <xdr:colOff>247730</xdr:colOff>
      <xdr:row>0</xdr:row>
      <xdr:rowOff>138619</xdr:rowOff>
    </xdr:from>
    <xdr:to>
      <xdr:col>20</xdr:col>
      <xdr:colOff>163911</xdr:colOff>
      <xdr:row>4</xdr:row>
      <xdr:rowOff>85279</xdr:rowOff>
    </xdr:to>
    <xdr:sp macro="" textlink="Sheet1!H3">
      <xdr:nvSpPr>
        <xdr:cNvPr id="14" name="Rectangle: Rounded Corners 13">
          <a:extLst>
            <a:ext uri="{FF2B5EF4-FFF2-40B4-BE49-F238E27FC236}">
              <a16:creationId xmlns:a16="http://schemas.microsoft.com/office/drawing/2014/main" id="{63E05E89-1008-4412-A8C6-936454C77C60}"/>
            </a:ext>
          </a:extLst>
        </xdr:cNvPr>
        <xdr:cNvSpPr/>
      </xdr:nvSpPr>
      <xdr:spPr>
        <a:xfrm>
          <a:off x="10028126" y="138619"/>
          <a:ext cx="2361280" cy="6835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D7CB00-EE0B-4522-8CF8-5B6CEBB5DC5D}"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 Spent</a:t>
          </a:r>
          <a:endParaRPr lang="en-IN" sz="1600"/>
        </a:p>
      </xdr:txBody>
    </xdr:sp>
    <xdr:clientData/>
  </xdr:twoCellAnchor>
  <xdr:twoCellAnchor editAs="oneCell">
    <xdr:from>
      <xdr:col>20</xdr:col>
      <xdr:colOff>283400</xdr:colOff>
      <xdr:row>16</xdr:row>
      <xdr:rowOff>183365</xdr:rowOff>
    </xdr:from>
    <xdr:to>
      <xdr:col>23</xdr:col>
      <xdr:colOff>445851</xdr:colOff>
      <xdr:row>35</xdr:row>
      <xdr:rowOff>8108</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4E9A7528-1954-4DF7-9807-5BD1AB4AC65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508895" y="3130881"/>
              <a:ext cx="1996275" cy="332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283886</xdr:colOff>
      <xdr:row>0</xdr:row>
      <xdr:rowOff>169260</xdr:rowOff>
    </xdr:from>
    <xdr:to>
      <xdr:col>23</xdr:col>
      <xdr:colOff>470170</xdr:colOff>
      <xdr:row>8</xdr:row>
      <xdr:rowOff>74254</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F238F7FB-51FE-17D2-92BC-EB6BC2FD8AE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09381" y="169260"/>
              <a:ext cx="2020108" cy="13787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283399</xdr:colOff>
      <xdr:row>9</xdr:row>
      <xdr:rowOff>1253</xdr:rowOff>
    </xdr:from>
    <xdr:to>
      <xdr:col>23</xdr:col>
      <xdr:colOff>443419</xdr:colOff>
      <xdr:row>16</xdr:row>
      <xdr:rowOff>90466</xdr:rowOff>
    </xdr:to>
    <mc:AlternateContent xmlns:mc="http://schemas.openxmlformats.org/markup-compatibility/2006">
      <mc:Choice xmlns:tsle="http://schemas.microsoft.com/office/drawing/2012/timeslicer" Requires="tsle">
        <xdr:graphicFrame macro="">
          <xdr:nvGraphicFramePr>
            <xdr:cNvPr id="18" name="Delivery_Date">
              <a:extLst>
                <a:ext uri="{FF2B5EF4-FFF2-40B4-BE49-F238E27FC236}">
                  <a16:creationId xmlns:a16="http://schemas.microsoft.com/office/drawing/2014/main" id="{6BF7DFFC-4A3F-AB74-597B-34E41A2DC555}"/>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508894" y="1659231"/>
              <a:ext cx="1993844" cy="13787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64851</xdr:colOff>
      <xdr:row>0</xdr:row>
      <xdr:rowOff>137809</xdr:rowOff>
    </xdr:from>
    <xdr:to>
      <xdr:col>4</xdr:col>
      <xdr:colOff>226979</xdr:colOff>
      <xdr:row>4</xdr:row>
      <xdr:rowOff>84469</xdr:rowOff>
    </xdr:to>
    <xdr:sp macro="" textlink="">
      <xdr:nvSpPr>
        <xdr:cNvPr id="19" name="Rectangle: Rounded Corners 18">
          <a:extLst>
            <a:ext uri="{FF2B5EF4-FFF2-40B4-BE49-F238E27FC236}">
              <a16:creationId xmlns:a16="http://schemas.microsoft.com/office/drawing/2014/main" id="{871B3421-79AE-4CE7-B9E8-8E372B0F7322}"/>
            </a:ext>
          </a:extLst>
        </xdr:cNvPr>
        <xdr:cNvSpPr/>
      </xdr:nvSpPr>
      <xdr:spPr>
        <a:xfrm>
          <a:off x="64851" y="137809"/>
          <a:ext cx="2607227" cy="6835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rgbClr val="000000"/>
              </a:solidFill>
              <a:latin typeface="Calibri"/>
              <a:ea typeface="Calibri"/>
              <a:cs typeface="Calibri"/>
            </a:rPr>
            <a:t>             </a:t>
          </a:r>
          <a:r>
            <a:rPr lang="en-IN" sz="2000" b="1" i="1" u="none" strike="noStrike">
              <a:solidFill>
                <a:srgbClr val="000000"/>
              </a:solidFill>
              <a:latin typeface="Calibri"/>
              <a:ea typeface="Calibri"/>
              <a:cs typeface="Calibri"/>
            </a:rPr>
            <a:t>Sales</a:t>
          </a:r>
          <a:r>
            <a:rPr lang="en-IN" sz="2000" b="1" i="1" u="none" strike="noStrike" baseline="0">
              <a:solidFill>
                <a:srgbClr val="000000"/>
              </a:solidFill>
              <a:latin typeface="Calibri"/>
              <a:ea typeface="Calibri"/>
              <a:cs typeface="Calibri"/>
            </a:rPr>
            <a:t> Analysis</a:t>
          </a:r>
          <a:endParaRPr lang="en-IN" sz="2000" b="1" i="1" u="none" strike="noStrike">
            <a:solidFill>
              <a:srgbClr val="000000"/>
            </a:solidFill>
            <a:latin typeface="Calibri"/>
            <a:ea typeface="Calibri"/>
            <a:cs typeface="Calibri"/>
          </a:endParaRPr>
        </a:p>
      </xdr:txBody>
    </xdr:sp>
    <xdr:clientData/>
  </xdr:twoCellAnchor>
  <xdr:twoCellAnchor editAs="oneCell">
    <xdr:from>
      <xdr:col>0</xdr:col>
      <xdr:colOff>196953</xdr:colOff>
      <xdr:row>1</xdr:row>
      <xdr:rowOff>19982</xdr:rowOff>
    </xdr:from>
    <xdr:to>
      <xdr:col>1</xdr:col>
      <xdr:colOff>278016</xdr:colOff>
      <xdr:row>4</xdr:row>
      <xdr:rowOff>28816</xdr:rowOff>
    </xdr:to>
    <xdr:pic>
      <xdr:nvPicPr>
        <xdr:cNvPr id="21" name="Picture 20">
          <a:extLst>
            <a:ext uri="{FF2B5EF4-FFF2-40B4-BE49-F238E27FC236}">
              <a16:creationId xmlns:a16="http://schemas.microsoft.com/office/drawing/2014/main" id="{EF174321-F691-E825-9C6B-09456537D305}"/>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9056" b="8679"/>
        <a:stretch>
          <a:fillRect/>
        </a:stretch>
      </xdr:blipFill>
      <xdr:spPr>
        <a:xfrm>
          <a:off x="196953" y="202433"/>
          <a:ext cx="692809" cy="5561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MI" refreshedDate="46093.460840046297" backgroundQuery="1" createdVersion="8" refreshedVersion="8" minRefreshableVersion="3" recordCount="0" supportSubquery="1" supportAdvancedDrill="1" xr:uid="{078733B6-1C39-4F39-8025-7A8BF1A6FBA9}">
  <cacheSource type="external" connectionId="9"/>
  <cacheFields count="4">
    <cacheField name="[Orders].[Order_Month].[Order_Month]" caption="Order_Month"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3"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MI" refreshedDate="46099.46886990741" backgroundQuery="1" createdVersion="8" refreshedVersion="8" minRefreshableVersion="3" recordCount="0" supportSubquery="1" supportAdvancedDrill="1" xr:uid="{CC6E1738-BC4C-4065-896F-B96BD67BEE11}">
  <cacheSource type="external" connectionId="9"/>
  <cacheFields count="4">
    <cacheField name="[Measures].[Sum of Revenue]" caption="Sum of Revenue" numFmtId="0" hierarchy="43"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MI" refreshedDate="46099.468871296296" backgroundQuery="1" createdVersion="8" refreshedVersion="8" minRefreshableVersion="3" recordCount="0" supportSubquery="1" supportAdvancedDrill="1" xr:uid="{3C8F3037-0F01-40BD-AF66-78AC3BFD0031}">
  <cacheSource type="external" connectionId="9"/>
  <cacheFields count="3">
    <cacheField name="[Measures].[Sum of Revenue]" caption="Sum of Revenue" numFmtId="0" hierarchy="43"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MI" refreshedDate="46099.468872337966" backgroundQuery="1" createdVersion="8" refreshedVersion="8" minRefreshableVersion="3" recordCount="0" supportSubquery="1" supportAdvancedDrill="1" xr:uid="{98012B43-8CE3-40E4-A3CD-3DA398E06C0C}">
  <cacheSource type="external" connectionId="9"/>
  <cacheFields count="5">
    <cacheField name="[Measures].[Sum of Revenue]" caption="Sum of Revenue" numFmtId="0" hierarchy="43" level="32767"/>
    <cacheField name="[Measures].[Average of diff_order_delivery]" caption="Average of diff_order_delivery" numFmtId="0" hierarchy="45" level="32767"/>
    <cacheField name="[Measures].[Average of Revenue]" caption="Average of Revenue" numFmtId="0" hierarchy="46" level="32767"/>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MI" refreshedDate="46099.468873379628" backgroundQuery="1" createdVersion="8" refreshedVersion="8" minRefreshableVersion="3" recordCount="0" supportSubquery="1" supportAdvancedDrill="1" xr:uid="{32BC6D7B-23A5-474F-A1DF-B41E2C95B1B9}">
  <cacheSource type="external" connectionId="9"/>
  <cacheFields count="4">
    <cacheField name="[Measures].[Sum of Revenue]" caption="Sum of Revenue" numFmtId="0" hierarchy="43"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MI" refreshedDate="46099.468874652775" backgroundQuery="1" createdVersion="8" refreshedVersion="8" minRefreshableVersion="3" recordCount="0" supportSubquery="1" supportAdvancedDrill="1" xr:uid="{85D32697-3205-48B5-BCD7-1720612BFDA3}">
  <cacheSource type="external" connectionId="9"/>
  <cacheFields count="4">
    <cacheField name="[Measures].[Sum of Revenue]" caption="Sum of Revenue" numFmtId="0" hierarchy="43"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MI" refreshedDate="46099.468875810184" backgroundQuery="1" createdVersion="8" refreshedVersion="8" minRefreshableVersion="3" recordCount="0" supportSubquery="1" supportAdvancedDrill="1" xr:uid="{A979197B-C9EC-4D0D-B08B-2CC4356E81CC}">
  <cacheSource type="external" connectionId="9"/>
  <cacheFields count="4">
    <cacheField name="[Orders].[Order_Month].[Order_Month]" caption="Order_Month"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MI" refreshedDate="46088.938260763891" backgroundQuery="1" createdVersion="3" refreshedVersion="8" minRefreshableVersion="3" recordCount="0" supportSubquery="1" supportAdvancedDrill="1" xr:uid="{56C9A9E6-EDC2-4FA1-AD9D-E094DAF67827}">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83222429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MI" refreshedDate="46088.957141550927" backgroundQuery="1" createdVersion="3" refreshedVersion="8" minRefreshableVersion="3" recordCount="0" supportSubquery="1" supportAdvancedDrill="1" xr:uid="{0E49E696-C7A4-4387-A1E5-06C840E95452}">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s].[Content]" caption="Content" attribute="1" defaultMemberUniqueName="[fnp_datasets].[Content].[All]" allUniqueName="[fnp_datasets].[Content].[All]" dimensionUniqueName="[fnp_datasets]" displayFolder="" count="2" memberValueDatatype="130" unbalanced="0"/>
    <cacheHierarchy uniqueName="[fnp_datasets].[Name]" caption="Name" attribute="1" defaultMemberUniqueName="[fnp_datasets].[Name].[All]" allUniqueName="[fnp_datasets].[Name].[All]" dimensionUniqueName="[fnp_datasets]" displayFolder="" count="2" memberValueDatatype="130" unbalanced="0"/>
    <cacheHierarchy uniqueName="[fnp_datasets].[Extension]" caption="Extension" attribute="1" defaultMemberUniqueName="[fnp_datasets].[Extension].[All]" allUniqueName="[fnp_datasets].[Extension].[All]" dimensionUniqueName="[fnp_datasets]" displayFolder="" count="2" memberValueDatatype="130" unbalanced="0"/>
    <cacheHierarchy uniqueName="[fnp_datasets].[Date accessed]" caption="Date accessed" attribute="1" time="1" defaultMemberUniqueName="[fnp_datasets].[Date accessed].[All]" allUniqueName="[fnp_datasets].[Date accessed].[All]" dimensionUniqueName="[fnp_datasets]" displayFolder="" count="2" memberValueDatatype="7" unbalanced="0"/>
    <cacheHierarchy uniqueName="[fnp_datasets].[Date modified]" caption="Date modified" attribute="1" time="1" defaultMemberUniqueName="[fnp_datasets].[Date modified].[All]" allUniqueName="[fnp_datasets].[Date modified].[All]" dimensionUniqueName="[fnp_datasets]" displayFolder="" count="2" memberValueDatatype="7" unbalanced="0"/>
    <cacheHierarchy uniqueName="[fnp_datasets].[Date created]" caption="Date created" attribute="1" time="1" defaultMemberUniqueName="[fnp_datasets].[Date created].[All]" allUniqueName="[fnp_datasets].[Date created].[All]" dimensionUniqueName="[fnp_datasets]" displayFolder="" count="2" memberValueDatatype="7" unbalanced="0"/>
    <cacheHierarchy uniqueName="[fnp_datasets].[Folder Path]" caption="Folder Path" attribute="1" defaultMemberUniqueName="[fnp_datasets].[Folder Path].[All]" allUniqueName="[fnp_datasets].[Folder Path].[All]" dimensionUniqueName="[fnp_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13235477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F81F9D-043D-4B56-AF3C-48A432E102AB}" name="PivotTable8" cacheId="5" applyNumberFormats="0" applyBorderFormats="0" applyFontFormats="0" applyPatternFormats="0" applyAlignmentFormats="0" applyWidthHeightFormats="1" dataCaption="Values" tag="7d4a271d-886b-4849-9acb-c2d4ffc71288" updatedVersion="8" minRefreshableVersion="5" useAutoFormatting="1" subtotalHiddenItems="1" itemPrintTitles="1" createdVersion="8" indent="0" outline="1" outlineData="1" multipleFieldFilters="0" chartFormat="5">
  <location ref="H13:I2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B1FDEF-066C-4ACE-97B4-56AE7F4D3A29}" name="PivotTable6" cacheId="368" applyNumberFormats="0" applyBorderFormats="0" applyFontFormats="0" applyPatternFormats="0" applyAlignmentFormats="0" applyWidthHeightFormats="1" dataCaption="Values" tag="0827f45f-784b-45c8-9746-cae741948e64" updatedVersion="8" minRefreshableVersion="5" useAutoFormatting="1" subtotalHiddenItems="1" itemPrintTitles="1" createdVersion="8" indent="0" outline="1" outlineData="1" multipleFieldFilters="0" chartFormat="9">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765D99-BD7A-49C6-810D-DB1B9F21C7CD}" name="PivotTable5" cacheId="359" applyNumberFormats="0" applyBorderFormats="0" applyFontFormats="0" applyPatternFormats="0" applyAlignmentFormats="0" applyWidthHeightFormats="1" dataCaption="Values" tag="6d3d084b-e561-41f4-ac59-f56bea8463ed" updatedVersion="8" minRefreshableVersion="5" useAutoFormatting="1" subtotalHiddenItems="1" itemPrintTitles="1" createdVersion="8" indent="0" outline="1" outlineData="1" multipleFieldFilters="0" chartFormat="5">
  <location ref="E5:F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547BFF-3B94-4F56-BDFA-5AA4D25D1FB3}" name="PivotTable4" cacheId="365" applyNumberFormats="0" applyBorderFormats="0" applyFontFormats="0" applyPatternFormats="0" applyAlignmentFormats="0" applyWidthHeightFormats="1" dataCaption="Values" tag="7a8a0d19-5bc6-4ee4-8ad7-0049f2e62db6" updatedVersion="8" minRefreshableVersion="5" useAutoFormatting="1" subtotalHiddenItems="1" itemPrintTitles="1" createdVersion="8" indent="0" outline="1" outlineData="1" multipleFieldFilters="0">
  <location ref="E2:H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Orders" fld="3" subtotal="count" baseField="0" baseItem="2"/>
    <dataField name="Sum of Revenue" fld="0" baseField="0" baseItem="0"/>
    <dataField name="Average of diff_order_delivery" fld="1" subtotal="average" baseField="0" baseItem="1"/>
    <dataField name="Average of Customer Spendings" fld="2" subtotal="average" baseField="0" baseItem="2"/>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s"/>
    <pivotHierarchy dragToData="1"/>
    <pivotHierarchy dragToData="1" caption="Total Orders"/>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59522D-E729-4AE7-B0DB-6E4B88F4F73B}" name="PivotTable9" cacheId="371" applyNumberFormats="0" applyBorderFormats="0" applyFontFormats="0" applyPatternFormats="0" applyAlignmentFormats="0" applyWidthHeightFormats="1" dataCaption="Values" tag="f3eb024c-8665-423f-8898-ef941f7e3b1e" updatedVersion="8" minRefreshableVersion="5" useAutoFormatting="1" subtotalHiddenItems="1" itemPrintTitles="1" createdVersion="8" indent="0" outline="1" outlineData="1" multipleFieldFilters="0" chartFormat="16">
  <location ref="B30:C5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246A10-8285-44E2-B3DD-1D544C555C05}" name="PivotTable3" cacheId="362" applyNumberFormats="0" applyBorderFormats="0" applyFontFormats="0" applyPatternFormats="0" applyAlignmentFormats="0" applyWidthHeightFormats="1" dataCaption="Values" tag="bda22b65-4216-410f-b21c-24e6f9fb6524" updatedVersion="8" minRefreshableVersion="5" useAutoFormatting="1" subtotalHiddenItems="1" itemPrintTitles="1" createdVersion="8" indent="0" outline="1" outlineData="1" multipleFieldFilters="0" chartFormat="5">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2F6BA3-CDB5-4E3A-ACB1-D6607C1CD725}" name="PivotTable7" cacheId="374" applyNumberFormats="0" applyBorderFormats="0" applyFontFormats="0" applyPatternFormats="0" applyAlignmentFormats="0" applyWidthHeightFormats="1" dataCaption="Values" tag="443d87b7-33a7-43a5-ae1d-34425308ae94" updatedVersion="8" minRefreshableVersion="5" useAutoFormatting="1" subtotalHiddenItems="1" itemPrintTitles="1" createdVersion="8" indent="0" outline="1" outlineData="1" multipleFieldFilters="0" chartFormat="5">
  <location ref="E14:F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D436FC9-8527-434F-B19D-9B0475C2CF3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_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F70523B-9082-4D17-A2FA-E3DAF7CB456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3420CAB-A5FE-496E-BCC7-8416027C74FB}"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44CEC25-4EC4-4CCD-A890-364E6CD409B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7A6970F-FFA9-41FF-A67B-2E180A986D18}" sourceName="[Orders].[Occasion]">
  <pivotTables>
    <pivotTable tabId="1" name="PivotTable5"/>
    <pivotTable tabId="1" name="PivotTable3"/>
    <pivotTable tabId="1" name="PivotTable4"/>
    <pivotTable tabId="1" name="PivotTable6"/>
    <pivotTable tabId="1" name="PivotTable9"/>
    <pivotTable tabId="1" name="PivotTable7"/>
  </pivotTables>
  <data>
    <olap pivotCacheId="183222429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EE1FE71-BDDB-43C8-A05F-B37052C7A100}"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B723A2-4336-41BD-8F66-EF39FA474BBD}" name="fnp_datasets" displayName="fnp_datasets" ref="A1:F4" tableType="queryTable" totalsRowShown="0">
  <autoFilter ref="A1:F4" xr:uid="{DFB723A2-4336-41BD-8F66-EF39FA474BBD}"/>
  <tableColumns count="6">
    <tableColumn id="1" xr3:uid="{D62DDF3E-C570-4896-ABF6-40C57FFF63B1}" uniqueName="1" name="Name" queryTableFieldId="1" dataDxfId="24"/>
    <tableColumn id="2" xr3:uid="{08F3B94C-6F64-4811-8D4D-BF4B4887AB41}" uniqueName="2" name="Extension" queryTableFieldId="2" dataDxfId="23"/>
    <tableColumn id="3" xr3:uid="{AEDC1CDC-05F7-4BD5-AE7F-0DD4C1D26AAE}" uniqueName="3" name="Date accessed" queryTableFieldId="3" dataDxfId="22"/>
    <tableColumn id="4" xr3:uid="{A4004CA0-0C15-4FF7-8B30-3A9ECE288ACC}" uniqueName="4" name="Date modified" queryTableFieldId="4" dataDxfId="21"/>
    <tableColumn id="5" xr3:uid="{DD0DC940-02A3-497D-B8D1-4A4358121402}" uniqueName="5" name="Date created" queryTableFieldId="5" dataDxfId="20"/>
    <tableColumn id="6" xr3:uid="{5B0E8DD6-EE7A-407D-B71A-0E9E4FF0E7CA}"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4AF063-9C74-4E53-82C0-DCB9AF0B681A}" name="Customers" displayName="Customers" ref="A1:G101" tableType="queryTable" totalsRowShown="0">
  <autoFilter ref="A1:G101" xr:uid="{A44AF063-9C74-4E53-82C0-DCB9AF0B681A}"/>
  <tableColumns count="7">
    <tableColumn id="1" xr3:uid="{108770BD-9A82-46E7-92A0-EC1B128CF3C7}" uniqueName="1" name="Customer_ID" queryTableFieldId="1" dataDxfId="18"/>
    <tableColumn id="2" xr3:uid="{B2960A94-43C1-41D6-8AB6-EA5002D6DDCF}" uniqueName="2" name="Name" queryTableFieldId="2" dataDxfId="17"/>
    <tableColumn id="3" xr3:uid="{6E0E5326-2E95-48F0-8592-8B459699EE8B}" uniqueName="3" name="City" queryTableFieldId="3" dataDxfId="16"/>
    <tableColumn id="4" xr3:uid="{DA14C050-0C0C-4C80-9BC4-507C78899C86}" uniqueName="4" name="Contact_Number" queryTableFieldId="4" dataDxfId="15"/>
    <tableColumn id="5" xr3:uid="{A3F7772B-2001-4D8B-9014-8D792D20B706}" uniqueName="5" name="Email" queryTableFieldId="5" dataDxfId="14"/>
    <tableColumn id="6" xr3:uid="{ECAD0C90-34F3-4629-AB95-694A7895B7A5}" uniqueName="6" name="Gender" queryTableFieldId="6" dataDxfId="13"/>
    <tableColumn id="7" xr3:uid="{F303DDCC-CE07-4C75-9525-97964E8BBAB1}"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B5C9C2-4AC9-4C35-A21C-68862B5686D0}" name="Orders" displayName="Orders" ref="A1:Q1001" tableType="queryTable" totalsRowShown="0">
  <autoFilter ref="A1:Q1001" xr:uid="{78B5C9C2-4AC9-4C35-A21C-68862B5686D0}"/>
  <tableColumns count="17">
    <tableColumn id="1" xr3:uid="{C8D741C0-16CF-40BB-8CD3-46280ACA5FA6}" uniqueName="1" name="Order_ID" queryTableFieldId="1"/>
    <tableColumn id="2" xr3:uid="{1A11F619-24AF-4E44-A434-9C28AE42D8E9}" uniqueName="2" name="Customer_ID" queryTableFieldId="2" dataDxfId="11"/>
    <tableColumn id="3" xr3:uid="{F5B5330C-1568-478D-A751-797B84498153}" uniqueName="3" name="Product_ID" queryTableFieldId="3"/>
    <tableColumn id="4" xr3:uid="{5EDA589B-0313-4ACC-93A6-78401A4A9059}" uniqueName="4" name="Quantity" queryTableFieldId="4"/>
    <tableColumn id="5" xr3:uid="{D4A0DD11-CAB0-4B55-BEC1-58EAF9F23E9E}" uniqueName="5" name="Order_Date" queryTableFieldId="5" dataDxfId="10"/>
    <tableColumn id="6" xr3:uid="{D34EFE3F-5ABF-4FE9-967A-55057AF93E50}" uniqueName="6" name="Order_Time" queryTableFieldId="6" dataDxfId="9"/>
    <tableColumn id="7" xr3:uid="{BE5FB1C1-C8AA-445B-A235-8332E81F0455}" uniqueName="7" name="Delivery_Date" queryTableFieldId="7" dataDxfId="8"/>
    <tableColumn id="8" xr3:uid="{B9D1D02C-CCCB-424A-A9CD-745F5E095621}" uniqueName="8" name="Delivery_Time" queryTableFieldId="8" dataDxfId="7"/>
    <tableColumn id="9" xr3:uid="{C307DA6A-43F0-47C4-AB7F-D5D9C2DD4308}" uniqueName="9" name="Location" queryTableFieldId="9" dataDxfId="6"/>
    <tableColumn id="10" xr3:uid="{4906FA55-3FF9-452D-917A-3E7577DDFB24}" uniqueName="10" name="Occasion" queryTableFieldId="10" dataDxfId="5"/>
    <tableColumn id="11" xr3:uid="{A39DD928-197D-4E09-9EC6-2B50271279F2}" uniqueName="11" name="Order_Month" queryTableFieldId="11" dataDxfId="4"/>
    <tableColumn id="12" xr3:uid="{5CADBE6F-D8A4-4CA4-80B0-E4EEEF84CF55}" uniqueName="12" name="Hour (Order Time)" queryTableFieldId="12"/>
    <tableColumn id="13" xr3:uid="{2273CF8E-ED1D-4523-94FE-41FADAA4AF90}" uniqueName="13" name="diff_order_delivery" queryTableFieldId="13"/>
    <tableColumn id="14" xr3:uid="{76DAA772-FAA9-43D2-8770-AC1260668B31}" uniqueName="14" name="Hour (Delivery Time)" queryTableFieldId="14"/>
    <tableColumn id="15" xr3:uid="{AC565EC6-FC8D-4FF1-9EE5-DC52514E841A}" uniqueName="15" name="Price (INR)" queryTableFieldId="15"/>
    <tableColumn id="16" xr3:uid="{C3DECE2B-6C60-49F2-B8F4-C7DA67118D25}" uniqueName="16" name="Revenue" queryTableFieldId="16"/>
    <tableColumn id="17" xr3:uid="{CD6DD741-C547-4B2C-8129-A10BAEF0682A}"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416EAD-3A0A-4BCC-8034-1438BDEBBB25}" name="Products" displayName="Products" ref="A1:F71" tableType="queryTable" totalsRowShown="0">
  <autoFilter ref="A1:F71" xr:uid="{12416EAD-3A0A-4BCC-8034-1438BDEBBB25}"/>
  <tableColumns count="6">
    <tableColumn id="1" xr3:uid="{8B75E5D5-61A9-45FA-9BC9-75CF0CFC2936}" uniqueName="1" name="Product_ID" queryTableFieldId="1"/>
    <tableColumn id="2" xr3:uid="{6E7AB728-3FC7-46FF-A723-26A62ABD5963}" uniqueName="2" name="Product_Name" queryTableFieldId="2" dataDxfId="3"/>
    <tableColumn id="3" xr3:uid="{E20FD187-C114-498F-B96E-98EFAE309B61}" uniqueName="3" name="Category" queryTableFieldId="3" dataDxfId="2"/>
    <tableColumn id="4" xr3:uid="{9EAAACA0-E522-4EEE-AD7A-A0B57FEA6EC1}" uniqueName="4" name="Price (INR)" queryTableFieldId="4"/>
    <tableColumn id="5" xr3:uid="{06323903-74F1-418A-BD94-F0E04336B13A}" uniqueName="5" name="Occasion" queryTableFieldId="5" dataDxfId="1"/>
    <tableColumn id="6" xr3:uid="{9C3CD26B-5B94-497A-88FA-7D576F52835E}"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5C02E5E-98BE-4587-A95C-A553056A8236}" sourceName="[Orders].[Order_Date]">
  <pivotTables>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32354774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00A1657-D77C-4DBD-951C-416715FFFE14}" sourceName="[Orders].[Delivery_Date]">
  <pivotTables>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32354774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B763570-980C-46D5-9C06-2C39C92A62EA}" cache="Timeline_Order_Date" caption="Order_Date" level="2" selectionLevel="2" scrollPosition="2023-05-01T00:00:00"/>
  <timeline name="Delivery_Date" xr10:uid="{4CF82886-8B14-4145-9FB9-E53A115EB762}" cache="Timeline_Delivery_Date" caption="Delivery_Date" level="2" selectionLevel="2" scrollPosition="2023-11-0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938DD-9ED6-4F5C-92CA-EC425D61E291}">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8" bestFit="1" customWidth="1"/>
  </cols>
  <sheetData>
    <row r="1" spans="1:6" x14ac:dyDescent="0.3">
      <c r="A1" t="s">
        <v>0</v>
      </c>
      <c r="B1" t="s">
        <v>1</v>
      </c>
      <c r="C1" t="s">
        <v>2</v>
      </c>
      <c r="D1" t="s">
        <v>3</v>
      </c>
      <c r="E1" t="s">
        <v>4</v>
      </c>
      <c r="F1" t="s">
        <v>5</v>
      </c>
    </row>
    <row r="2" spans="1:6" x14ac:dyDescent="0.3">
      <c r="A2" t="s">
        <v>6</v>
      </c>
      <c r="B2" t="s">
        <v>7</v>
      </c>
      <c r="C2" s="1">
        <v>46088.89523179012</v>
      </c>
      <c r="D2" s="1">
        <v>46088.895039660492</v>
      </c>
      <c r="E2" s="1">
        <v>46088.89502010031</v>
      </c>
      <c r="F2" t="s">
        <v>8</v>
      </c>
    </row>
    <row r="3" spans="1:6" x14ac:dyDescent="0.3">
      <c r="A3" t="s">
        <v>9</v>
      </c>
      <c r="B3" t="s">
        <v>7</v>
      </c>
      <c r="C3" s="1">
        <v>46088.895229359565</v>
      </c>
      <c r="D3" s="1">
        <v>46088.895216165125</v>
      </c>
      <c r="E3" s="1">
        <v>46088.895213310185</v>
      </c>
      <c r="F3" t="s">
        <v>8</v>
      </c>
    </row>
    <row r="4" spans="1:6" x14ac:dyDescent="0.3">
      <c r="A4" t="s">
        <v>10</v>
      </c>
      <c r="B4" t="s">
        <v>7</v>
      </c>
      <c r="C4" s="1">
        <v>46088.895546103398</v>
      </c>
      <c r="D4" s="1">
        <v>46088.895342399694</v>
      </c>
      <c r="E4" s="1">
        <v>46088.89533900463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F8CDB-6E5F-4163-B1F4-2B1C28C848B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DE9D3-099C-43F3-A625-2E0F88F55240}">
  <dimension ref="A1:Q1001"/>
  <sheetViews>
    <sheetView topLeftCell="I1"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77734375" bestFit="1" customWidth="1"/>
    <col min="12" max="12" width="18.5546875" bestFit="1" customWidth="1"/>
    <col min="13" max="13" width="19.5546875" bestFit="1" customWidth="1"/>
    <col min="14" max="14" width="20.6640625" bestFit="1" customWidth="1"/>
    <col min="15" max="15" width="12.109375" bestFit="1" customWidth="1"/>
    <col min="16" max="16" width="10.5546875" bestFit="1" customWidth="1"/>
    <col min="17" max="17" width="23"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38CD-66B7-4773-BA59-45156315168C}">
  <dimension ref="A1:F71"/>
  <sheetViews>
    <sheetView workbookViewId="0">
      <selection activeCell="H8" sqref="H8"/>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077C-5945-48CA-90A0-BB83ADF7DA58}">
  <dimension ref="B1:P55"/>
  <sheetViews>
    <sheetView workbookViewId="0">
      <selection activeCell="M37" sqref="M37"/>
    </sheetView>
  </sheetViews>
  <sheetFormatPr defaultRowHeight="14.4" x14ac:dyDescent="0.3"/>
  <cols>
    <col min="2" max="2" width="12.5546875" bestFit="1" customWidth="1"/>
    <col min="3" max="3" width="14.88671875" bestFit="1" customWidth="1"/>
    <col min="4" max="4" width="12.5546875" bestFit="1" customWidth="1"/>
    <col min="5" max="5" width="13.6640625" bestFit="1" customWidth="1"/>
    <col min="6" max="6" width="16.44140625" bestFit="1" customWidth="1"/>
    <col min="7" max="7" width="27.109375" bestFit="1" customWidth="1"/>
    <col min="8" max="8" width="28.21875" bestFit="1" customWidth="1"/>
    <col min="9" max="9" width="14.88671875" bestFit="1" customWidth="1"/>
    <col min="10" max="10" width="25" customWidth="1"/>
  </cols>
  <sheetData>
    <row r="1" spans="2:16" x14ac:dyDescent="0.3">
      <c r="P1" t="s">
        <v>1014</v>
      </c>
    </row>
    <row r="2" spans="2:16" x14ac:dyDescent="0.3">
      <c r="B2" s="4" t="s">
        <v>1003</v>
      </c>
      <c r="C2" t="s">
        <v>1015</v>
      </c>
      <c r="E2" t="s">
        <v>1022</v>
      </c>
      <c r="F2" t="s">
        <v>1015</v>
      </c>
      <c r="G2" t="s">
        <v>1016</v>
      </c>
      <c r="H2" t="s">
        <v>1021</v>
      </c>
    </row>
    <row r="3" spans="2:16" x14ac:dyDescent="0.3">
      <c r="B3" s="5" t="s">
        <v>842</v>
      </c>
      <c r="C3" s="15">
        <v>95468</v>
      </c>
      <c r="E3" s="16">
        <v>1000</v>
      </c>
      <c r="F3" s="15">
        <v>3520984</v>
      </c>
      <c r="G3" s="16">
        <v>5.53</v>
      </c>
      <c r="H3" s="15">
        <v>3520.9839999999999</v>
      </c>
    </row>
    <row r="4" spans="2:16" x14ac:dyDescent="0.3">
      <c r="B4" s="5" t="s">
        <v>621</v>
      </c>
      <c r="C4" s="15">
        <v>704509</v>
      </c>
    </row>
    <row r="5" spans="2:16" ht="15" thickBot="1" x14ac:dyDescent="0.35">
      <c r="B5" s="5" t="s">
        <v>747</v>
      </c>
      <c r="C5" s="15">
        <v>511823</v>
      </c>
      <c r="E5" s="4" t="s">
        <v>1003</v>
      </c>
      <c r="F5" t="s">
        <v>1015</v>
      </c>
    </row>
    <row r="6" spans="2:16" x14ac:dyDescent="0.3">
      <c r="B6" s="5" t="s">
        <v>837</v>
      </c>
      <c r="C6" s="15">
        <v>140393</v>
      </c>
      <c r="E6" s="5" t="s">
        <v>891</v>
      </c>
      <c r="F6" s="15">
        <v>97665</v>
      </c>
      <c r="H6" s="6">
        <f>CORREL(Orders!D:D,Orders!M:M)</f>
        <v>3.4781737193018245E-3</v>
      </c>
      <c r="I6" s="7"/>
      <c r="J6" s="8" t="s">
        <v>1018</v>
      </c>
    </row>
    <row r="7" spans="2:16" x14ac:dyDescent="0.3">
      <c r="B7" s="5" t="s">
        <v>840</v>
      </c>
      <c r="C7" s="15">
        <v>150346</v>
      </c>
      <c r="E7" s="5" t="s">
        <v>973</v>
      </c>
      <c r="F7" s="15">
        <v>106624</v>
      </c>
      <c r="H7" s="9"/>
      <c r="J7" s="10" t="s">
        <v>1019</v>
      </c>
    </row>
    <row r="8" spans="2:16" ht="15" thickBot="1" x14ac:dyDescent="0.35">
      <c r="B8" s="5" t="s">
        <v>841</v>
      </c>
      <c r="C8" s="15">
        <v>157913</v>
      </c>
      <c r="E8" s="5" t="s">
        <v>957</v>
      </c>
      <c r="F8" s="15">
        <v>101556</v>
      </c>
      <c r="H8" s="11"/>
      <c r="I8" s="12"/>
      <c r="J8" s="13" t="s">
        <v>1020</v>
      </c>
    </row>
    <row r="9" spans="2:16" x14ac:dyDescent="0.3">
      <c r="B9" s="5" t="s">
        <v>839</v>
      </c>
      <c r="C9" s="15">
        <v>135826</v>
      </c>
      <c r="E9" s="5" t="s">
        <v>859</v>
      </c>
      <c r="F9" s="15">
        <v>121905</v>
      </c>
    </row>
    <row r="10" spans="2:16" x14ac:dyDescent="0.3">
      <c r="B10" s="5" t="s">
        <v>795</v>
      </c>
      <c r="C10" s="15">
        <v>737389</v>
      </c>
      <c r="E10" s="5" t="s">
        <v>905</v>
      </c>
      <c r="F10" s="15">
        <v>114476</v>
      </c>
    </row>
    <row r="11" spans="2:16" x14ac:dyDescent="0.3">
      <c r="B11" s="5" t="s">
        <v>843</v>
      </c>
      <c r="C11" s="15">
        <v>136938</v>
      </c>
      <c r="E11" s="5" t="s">
        <v>1004</v>
      </c>
      <c r="F11" s="15">
        <v>542226</v>
      </c>
    </row>
    <row r="12" spans="2:16" x14ac:dyDescent="0.3">
      <c r="B12" s="5" t="s">
        <v>845</v>
      </c>
      <c r="C12" s="15">
        <v>151619</v>
      </c>
    </row>
    <row r="13" spans="2:16" x14ac:dyDescent="0.3">
      <c r="B13" s="5" t="s">
        <v>822</v>
      </c>
      <c r="C13" s="15">
        <v>449169</v>
      </c>
      <c r="H13" s="4" t="s">
        <v>1003</v>
      </c>
      <c r="I13" t="s">
        <v>1015</v>
      </c>
    </row>
    <row r="14" spans="2:16" x14ac:dyDescent="0.3">
      <c r="B14" s="5" t="s">
        <v>836</v>
      </c>
      <c r="C14" s="15">
        <v>149591</v>
      </c>
      <c r="E14" s="4" t="s">
        <v>1003</v>
      </c>
      <c r="F14" t="s">
        <v>1017</v>
      </c>
      <c r="H14" s="5" t="s">
        <v>699</v>
      </c>
      <c r="I14" s="14">
        <v>586176</v>
      </c>
    </row>
    <row r="15" spans="2:16" x14ac:dyDescent="0.3">
      <c r="B15" s="5" t="s">
        <v>1004</v>
      </c>
      <c r="C15" s="15">
        <v>3520984</v>
      </c>
      <c r="E15" s="5" t="s">
        <v>218</v>
      </c>
      <c r="F15" s="16">
        <v>18</v>
      </c>
      <c r="H15" s="5" t="s">
        <v>698</v>
      </c>
      <c r="I15" s="14">
        <v>674634</v>
      </c>
    </row>
    <row r="16" spans="2:16" x14ac:dyDescent="0.3">
      <c r="E16" s="5" t="s">
        <v>152</v>
      </c>
      <c r="F16" s="16">
        <v>21</v>
      </c>
      <c r="H16" s="5" t="s">
        <v>707</v>
      </c>
      <c r="I16" s="14">
        <v>408194</v>
      </c>
    </row>
    <row r="17" spans="2:9" x14ac:dyDescent="0.3">
      <c r="E17" s="5" t="s">
        <v>32</v>
      </c>
      <c r="F17" s="16">
        <v>18</v>
      </c>
      <c r="H17" s="5" t="s">
        <v>829</v>
      </c>
      <c r="I17" s="14">
        <v>313783</v>
      </c>
    </row>
    <row r="18" spans="2:9" x14ac:dyDescent="0.3">
      <c r="B18" s="4" t="s">
        <v>1003</v>
      </c>
      <c r="C18" t="s">
        <v>1015</v>
      </c>
      <c r="E18" s="5" t="s">
        <v>324</v>
      </c>
      <c r="F18" s="16">
        <v>28</v>
      </c>
      <c r="H18" s="5" t="s">
        <v>701</v>
      </c>
      <c r="I18" s="14">
        <v>574682</v>
      </c>
    </row>
    <row r="19" spans="2:9" x14ac:dyDescent="0.3">
      <c r="B19" s="5" t="s">
        <v>874</v>
      </c>
      <c r="C19" s="15">
        <v>329862</v>
      </c>
      <c r="E19" s="5" t="s">
        <v>230</v>
      </c>
      <c r="F19" s="16">
        <v>21</v>
      </c>
      <c r="H19" s="5" t="s">
        <v>794</v>
      </c>
      <c r="I19" s="14">
        <v>631585</v>
      </c>
    </row>
    <row r="20" spans="2:9" x14ac:dyDescent="0.3">
      <c r="B20" s="5" t="s">
        <v>866</v>
      </c>
      <c r="C20" s="15">
        <v>1005645</v>
      </c>
      <c r="E20" s="5" t="s">
        <v>301</v>
      </c>
      <c r="F20" s="16">
        <v>20</v>
      </c>
      <c r="H20" s="5" t="s">
        <v>620</v>
      </c>
      <c r="I20" s="14">
        <v>331930</v>
      </c>
    </row>
    <row r="21" spans="2:9" x14ac:dyDescent="0.3">
      <c r="B21" s="5" t="s">
        <v>885</v>
      </c>
      <c r="C21" s="15">
        <v>201151</v>
      </c>
      <c r="E21" s="5" t="s">
        <v>188</v>
      </c>
      <c r="F21" s="16">
        <v>24</v>
      </c>
      <c r="H21" s="5" t="s">
        <v>1004</v>
      </c>
      <c r="I21" s="14">
        <v>3520984</v>
      </c>
    </row>
    <row r="22" spans="2:9" x14ac:dyDescent="0.3">
      <c r="B22" s="5" t="s">
        <v>863</v>
      </c>
      <c r="C22" s="15">
        <v>212281</v>
      </c>
      <c r="E22" s="5" t="s">
        <v>307</v>
      </c>
      <c r="F22" s="16">
        <v>29</v>
      </c>
    </row>
    <row r="23" spans="2:9" x14ac:dyDescent="0.3">
      <c r="B23" s="5" t="s">
        <v>794</v>
      </c>
      <c r="C23" s="15">
        <v>297372</v>
      </c>
      <c r="E23" s="5" t="s">
        <v>158</v>
      </c>
      <c r="F23" s="16">
        <v>27</v>
      </c>
    </row>
    <row r="24" spans="2:9" x14ac:dyDescent="0.3">
      <c r="B24" s="5" t="s">
        <v>860</v>
      </c>
      <c r="C24" s="15">
        <v>740831</v>
      </c>
      <c r="E24" s="5" t="s">
        <v>397</v>
      </c>
      <c r="F24" s="16">
        <v>19</v>
      </c>
    </row>
    <row r="25" spans="2:9" x14ac:dyDescent="0.3">
      <c r="B25" s="5" t="s">
        <v>869</v>
      </c>
      <c r="C25" s="15">
        <v>733842</v>
      </c>
      <c r="E25" s="5" t="s">
        <v>1004</v>
      </c>
      <c r="F25" s="16">
        <v>225</v>
      </c>
    </row>
    <row r="26" spans="2:9" x14ac:dyDescent="0.3">
      <c r="B26" s="5" t="s">
        <v>1004</v>
      </c>
      <c r="C26" s="15">
        <v>3520984</v>
      </c>
    </row>
    <row r="30" spans="2:9" x14ac:dyDescent="0.3">
      <c r="B30" s="4" t="s">
        <v>1003</v>
      </c>
      <c r="C30" t="s">
        <v>1015</v>
      </c>
    </row>
    <row r="31" spans="2:9" x14ac:dyDescent="0.3">
      <c r="B31" s="5">
        <v>0</v>
      </c>
      <c r="C31" s="15">
        <v>99400</v>
      </c>
    </row>
    <row r="32" spans="2:9" x14ac:dyDescent="0.3">
      <c r="B32" s="5">
        <v>1</v>
      </c>
      <c r="C32" s="15">
        <v>129309</v>
      </c>
    </row>
    <row r="33" spans="2:3" x14ac:dyDescent="0.3">
      <c r="B33" s="5">
        <v>2</v>
      </c>
      <c r="C33" s="15">
        <v>152940</v>
      </c>
    </row>
    <row r="34" spans="2:3" x14ac:dyDescent="0.3">
      <c r="B34" s="5">
        <v>3</v>
      </c>
      <c r="C34" s="15">
        <v>146810</v>
      </c>
    </row>
    <row r="35" spans="2:3" x14ac:dyDescent="0.3">
      <c r="B35" s="5">
        <v>4</v>
      </c>
      <c r="C35" s="15">
        <v>114700</v>
      </c>
    </row>
    <row r="36" spans="2:3" x14ac:dyDescent="0.3">
      <c r="B36" s="5">
        <v>5</v>
      </c>
      <c r="C36" s="15">
        <v>156198</v>
      </c>
    </row>
    <row r="37" spans="2:3" x14ac:dyDescent="0.3">
      <c r="B37" s="5">
        <v>6</v>
      </c>
      <c r="C37" s="15">
        <v>177211</v>
      </c>
    </row>
    <row r="38" spans="2:3" x14ac:dyDescent="0.3">
      <c r="B38" s="5">
        <v>7</v>
      </c>
      <c r="C38" s="15">
        <v>147749</v>
      </c>
    </row>
    <row r="39" spans="2:3" x14ac:dyDescent="0.3">
      <c r="B39" s="5">
        <v>8</v>
      </c>
      <c r="C39" s="15">
        <v>133617</v>
      </c>
    </row>
    <row r="40" spans="2:3" x14ac:dyDescent="0.3">
      <c r="B40" s="5">
        <v>9</v>
      </c>
      <c r="C40" s="15">
        <v>153678</v>
      </c>
    </row>
    <row r="41" spans="2:3" x14ac:dyDescent="0.3">
      <c r="B41" s="5">
        <v>10</v>
      </c>
      <c r="C41" s="15">
        <v>94985</v>
      </c>
    </row>
    <row r="42" spans="2:3" x14ac:dyDescent="0.3">
      <c r="B42" s="5">
        <v>11</v>
      </c>
      <c r="C42" s="15">
        <v>130287</v>
      </c>
    </row>
    <row r="43" spans="2:3" x14ac:dyDescent="0.3">
      <c r="B43" s="5">
        <v>12</v>
      </c>
      <c r="C43" s="15">
        <v>162394</v>
      </c>
    </row>
    <row r="44" spans="2:3" x14ac:dyDescent="0.3">
      <c r="B44" s="5">
        <v>13</v>
      </c>
      <c r="C44" s="15">
        <v>152340</v>
      </c>
    </row>
    <row r="45" spans="2:3" x14ac:dyDescent="0.3">
      <c r="B45" s="5">
        <v>14</v>
      </c>
      <c r="C45" s="15">
        <v>126406</v>
      </c>
    </row>
    <row r="46" spans="2:3" x14ac:dyDescent="0.3">
      <c r="B46" s="5">
        <v>15</v>
      </c>
      <c r="C46" s="15">
        <v>163586</v>
      </c>
    </row>
    <row r="47" spans="2:3" x14ac:dyDescent="0.3">
      <c r="B47" s="5">
        <v>16</v>
      </c>
      <c r="C47" s="15">
        <v>128797</v>
      </c>
    </row>
    <row r="48" spans="2:3" x14ac:dyDescent="0.3">
      <c r="B48" s="5">
        <v>17</v>
      </c>
      <c r="C48" s="15">
        <v>155373</v>
      </c>
    </row>
    <row r="49" spans="2:3" x14ac:dyDescent="0.3">
      <c r="B49" s="5">
        <v>18</v>
      </c>
      <c r="C49" s="15">
        <v>173118</v>
      </c>
    </row>
    <row r="50" spans="2:3" x14ac:dyDescent="0.3">
      <c r="B50" s="5">
        <v>19</v>
      </c>
      <c r="C50" s="15">
        <v>185771</v>
      </c>
    </row>
    <row r="51" spans="2:3" x14ac:dyDescent="0.3">
      <c r="B51" s="5">
        <v>20</v>
      </c>
      <c r="C51" s="15">
        <v>186426</v>
      </c>
    </row>
    <row r="52" spans="2:3" x14ac:dyDescent="0.3">
      <c r="B52" s="5">
        <v>21</v>
      </c>
      <c r="C52" s="15">
        <v>155466</v>
      </c>
    </row>
    <row r="53" spans="2:3" x14ac:dyDescent="0.3">
      <c r="B53" s="5">
        <v>22</v>
      </c>
      <c r="C53" s="15">
        <v>125912</v>
      </c>
    </row>
    <row r="54" spans="2:3" x14ac:dyDescent="0.3">
      <c r="B54" s="5">
        <v>23</v>
      </c>
      <c r="C54" s="15">
        <v>168511</v>
      </c>
    </row>
    <row r="55" spans="2:3" x14ac:dyDescent="0.3">
      <c r="B55" s="5" t="s">
        <v>1004</v>
      </c>
      <c r="C55" s="15">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677EA-EE8D-4E8C-8FED-935EAD58074C}">
  <dimension ref="A1:AC39"/>
  <sheetViews>
    <sheetView showGridLines="0" tabSelected="1" zoomScale="91" zoomScaleNormal="91" workbookViewId="0">
      <selection activeCell="Y17" sqref="Y17"/>
    </sheetView>
  </sheetViews>
  <sheetFormatPr defaultRowHeight="14.4" x14ac:dyDescent="0.3"/>
  <sheetData>
    <row r="1" spans="1:29"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row>
    <row r="2" spans="1:29"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row>
    <row r="3" spans="1:29"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row>
    <row r="5" spans="1:29"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pans="1:29"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row>
    <row r="8" spans="1:29"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row>
    <row r="9" spans="1:29"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1:29"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69B788F-B84A-4DAA-BC5C-0394482FCFA2}">
  <ds:schemaRefs/>
</ds:datastoreItem>
</file>

<file path=customXml/itemProps2.xml><?xml version="1.0" encoding="utf-8"?>
<ds:datastoreItem xmlns:ds="http://schemas.openxmlformats.org/officeDocument/2006/customXml" ds:itemID="{83E3EF1B-F381-4B85-8D35-0EF207080AA9}">
  <ds:schemaRefs/>
</ds:datastoreItem>
</file>

<file path=customXml/itemProps3.xml><?xml version="1.0" encoding="utf-8"?>
<ds:datastoreItem xmlns:ds="http://schemas.openxmlformats.org/officeDocument/2006/customXml" ds:itemID="{B7E0206A-CBD1-47F4-BB41-C3C9EDB4AA56}">
  <ds:schemaRefs/>
</ds:datastoreItem>
</file>

<file path=customXml/itemProps4.xml><?xml version="1.0" encoding="utf-8"?>
<ds:datastoreItem xmlns:ds="http://schemas.openxmlformats.org/officeDocument/2006/customXml" ds:itemID="{A3D4DCA1-85A7-44D2-976A-07E904C81D15}">
  <ds:schemaRefs/>
</ds:datastoreItem>
</file>

<file path=customXml/itemProps5.xml><?xml version="1.0" encoding="utf-8"?>
<ds:datastoreItem xmlns:ds="http://schemas.openxmlformats.org/officeDocument/2006/customXml" ds:itemID="{8A2ED1D2-9A4F-48F3-B45B-7305F377109B}">
  <ds:schemaRefs/>
</ds:datastoreItem>
</file>

<file path=customXml/itemProps6.xml><?xml version="1.0" encoding="utf-8"?>
<ds:datastoreItem xmlns:ds="http://schemas.openxmlformats.org/officeDocument/2006/customXml" ds:itemID="{25D768EC-DF70-482E-9E66-C1A05454F95B}">
  <ds:schemaRefs/>
</ds:datastoreItem>
</file>

<file path=customXml/itemProps7.xml><?xml version="1.0" encoding="utf-8"?>
<ds:datastoreItem xmlns:ds="http://schemas.openxmlformats.org/officeDocument/2006/customXml" ds:itemID="{F7764956-45E3-4842-9E98-C6ADBAD1615E}">
  <ds:schemaRefs>
    <ds:schemaRef ds:uri="http://schemas.microsoft.com/DataMashup"/>
  </ds:schemaRefs>
</ds:datastoreItem>
</file>

<file path=customXml/itemProps8.xml><?xml version="1.0" encoding="utf-8"?>
<ds:datastoreItem xmlns:ds="http://schemas.openxmlformats.org/officeDocument/2006/customXml" ds:itemID="{F8F18BF1-E8CE-419E-95BB-75E4953DA822}">
  <ds:schemaRefs/>
</ds:datastoreItem>
</file>

<file path=customXml/itemProps9.xml><?xml version="1.0" encoding="utf-8"?>
<ds:datastoreItem xmlns:ds="http://schemas.openxmlformats.org/officeDocument/2006/customXml" ds:itemID="{1DAE18AD-D9B8-4E8B-AA61-60BD54115F05}">
  <ds:schemaRefs/>
</ds:datastoreItem>
</file>

<file path=customXml/itemProps10.xml><?xml version="1.0" encoding="utf-8"?>
<ds:datastoreItem xmlns:ds="http://schemas.openxmlformats.org/officeDocument/2006/customXml" ds:itemID="{5CC7A051-7B58-4BDF-89E3-6F3DB5F38383}">
  <ds:schemaRefs/>
</ds:datastoreItem>
</file>

<file path=customXml/itemProps11.xml><?xml version="1.0" encoding="utf-8"?>
<ds:datastoreItem xmlns:ds="http://schemas.openxmlformats.org/officeDocument/2006/customXml" ds:itemID="{C76F0E25-41E3-41C2-BFB0-BC06FF1B2979}">
  <ds:schemaRefs/>
</ds:datastoreItem>
</file>

<file path=customXml/itemProps12.xml><?xml version="1.0" encoding="utf-8"?>
<ds:datastoreItem xmlns:ds="http://schemas.openxmlformats.org/officeDocument/2006/customXml" ds:itemID="{264AA206-65EE-4F38-9E44-63DA726257A6}">
  <ds:schemaRefs/>
</ds:datastoreItem>
</file>

<file path=customXml/itemProps13.xml><?xml version="1.0" encoding="utf-8"?>
<ds:datastoreItem xmlns:ds="http://schemas.openxmlformats.org/officeDocument/2006/customXml" ds:itemID="{08146B87-C37D-404E-AB4E-823CBF622251}">
  <ds:schemaRefs/>
</ds:datastoreItem>
</file>

<file path=customXml/itemProps14.xml><?xml version="1.0" encoding="utf-8"?>
<ds:datastoreItem xmlns:ds="http://schemas.openxmlformats.org/officeDocument/2006/customXml" ds:itemID="{7EDDF0B7-45E9-4CC4-A10F-DF75818C4F3D}">
  <ds:schemaRefs/>
</ds:datastoreItem>
</file>

<file path=customXml/itemProps15.xml><?xml version="1.0" encoding="utf-8"?>
<ds:datastoreItem xmlns:ds="http://schemas.openxmlformats.org/officeDocument/2006/customXml" ds:itemID="{CF6A07B5-5028-42DC-AAF4-1FA4B862430A}">
  <ds:schemaRefs/>
</ds:datastoreItem>
</file>

<file path=customXml/itemProps16.xml><?xml version="1.0" encoding="utf-8"?>
<ds:datastoreItem xmlns:ds="http://schemas.openxmlformats.org/officeDocument/2006/customXml" ds:itemID="{4831058C-8C0A-41D4-8417-8EAE0D3B0CCB}">
  <ds:schemaRefs/>
</ds:datastoreItem>
</file>

<file path=customXml/itemProps17.xml><?xml version="1.0" encoding="utf-8"?>
<ds:datastoreItem xmlns:ds="http://schemas.openxmlformats.org/officeDocument/2006/customXml" ds:itemID="{D8ADFE96-7F55-43B9-882F-11E25BC2CBF7}">
  <ds:schemaRefs/>
</ds:datastoreItem>
</file>

<file path=customXml/itemProps18.xml><?xml version="1.0" encoding="utf-8"?>
<ds:datastoreItem xmlns:ds="http://schemas.openxmlformats.org/officeDocument/2006/customXml" ds:itemID="{2EC825A5-3557-4260-A9B9-DC2FC21F0F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fnp_datasets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Salomi Waghmare</dc:creator>
  <cp:lastModifiedBy>Salomi Waghmare</cp:lastModifiedBy>
  <dcterms:created xsi:type="dcterms:W3CDTF">2026-03-07T16:03:58Z</dcterms:created>
  <dcterms:modified xsi:type="dcterms:W3CDTF">2026-03-18T05:45:22Z</dcterms:modified>
</cp:coreProperties>
</file>